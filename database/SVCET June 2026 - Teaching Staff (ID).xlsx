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alary Bill\2026\June 2026\Salary Bill\"/>
    </mc:Choice>
  </mc:AlternateContent>
  <xr:revisionPtr revIDLastSave="0" documentId="13_ncr:1_{FD58CF2C-55F1-4AFC-B841-E0923CBCE9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aching" sheetId="1" r:id="rId1"/>
    <sheet name="Teaching (2)" sheetId="3" state="hidden" r:id="rId2"/>
    <sheet name="Teaching (5)" sheetId="4" state="hidden" r:id="rId3"/>
    <sheet name="Teaching (3)" sheetId="5" state="hidden" r:id="rId4"/>
    <sheet name="Teaching (4)" sheetId="6" state="hidden" r:id="rId5"/>
  </sheets>
  <definedNames>
    <definedName name="_xlnm._FilterDatabase" localSheetId="0" hidden="1">Teaching!$W$1:$W$54</definedName>
    <definedName name="_xlnm._FilterDatabase" localSheetId="1" hidden="1">'Teaching (2)'!$A$1:$F$160</definedName>
    <definedName name="_xlnm._FilterDatabase" localSheetId="3" hidden="1">'Teaching (3)'!$A$1:$F$16</definedName>
    <definedName name="_xlnm._FilterDatabase" localSheetId="4" hidden="1">'Teaching (4)'!$A$1:$F$15</definedName>
    <definedName name="_xlnm._FilterDatabase" localSheetId="2" hidden="1">'Teaching (5)'!$A$1:$F$136</definedName>
    <definedName name="_xlnm.Print_Titles" localSheetId="0">Teaching!$3:$3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8" i="1" l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H38" i="1"/>
  <c r="G38" i="1"/>
  <c r="F38" i="1"/>
  <c r="F35" i="1"/>
  <c r="H35" i="1" s="1"/>
  <c r="F34" i="1"/>
  <c r="H34" i="1" s="1"/>
  <c r="J35" i="1" l="1"/>
  <c r="K35" i="1" s="1"/>
  <c r="L35" i="1"/>
  <c r="P35" i="1" s="1"/>
  <c r="J34" i="1"/>
  <c r="J11" i="1"/>
  <c r="K11" i="1" s="1"/>
  <c r="F11" i="1"/>
  <c r="F27" i="1"/>
  <c r="H27" i="1" s="1"/>
  <c r="F24" i="1"/>
  <c r="H24" i="1" s="1"/>
  <c r="F23" i="1"/>
  <c r="J23" i="1" s="1"/>
  <c r="F22" i="1"/>
  <c r="H22" i="1" s="1"/>
  <c r="F26" i="1"/>
  <c r="H26" i="1" s="1"/>
  <c r="F25" i="1"/>
  <c r="J25" i="1" s="1"/>
  <c r="K25" i="1" s="1"/>
  <c r="F33" i="1"/>
  <c r="J33" i="1" s="1"/>
  <c r="F21" i="1"/>
  <c r="D38" i="1"/>
  <c r="F32" i="1"/>
  <c r="H32" i="1" s="1"/>
  <c r="F37" i="1"/>
  <c r="H37" i="1" s="1"/>
  <c r="F28" i="1"/>
  <c r="J28" i="1" s="1"/>
  <c r="F31" i="1"/>
  <c r="J31" i="1" s="1"/>
  <c r="F30" i="1"/>
  <c r="H30" i="1" s="1"/>
  <c r="F5" i="1"/>
  <c r="J5" i="1" s="1"/>
  <c r="F6" i="1"/>
  <c r="F7" i="1"/>
  <c r="J7" i="1" s="1"/>
  <c r="K7" i="1" s="1"/>
  <c r="F8" i="1"/>
  <c r="J8" i="1" s="1"/>
  <c r="F9" i="1"/>
  <c r="J9" i="1" s="1"/>
  <c r="F10" i="1"/>
  <c r="J10" i="1" s="1"/>
  <c r="K10" i="1" s="1"/>
  <c r="F12" i="1"/>
  <c r="J12" i="1" s="1"/>
  <c r="K12" i="1" s="1"/>
  <c r="F13" i="1"/>
  <c r="J13" i="1" s="1"/>
  <c r="F14" i="1"/>
  <c r="J14" i="1" s="1"/>
  <c r="F15" i="1"/>
  <c r="J15" i="1" s="1"/>
  <c r="K15" i="1" s="1"/>
  <c r="F16" i="1"/>
  <c r="J16" i="1" s="1"/>
  <c r="F17" i="1"/>
  <c r="J17" i="1" s="1"/>
  <c r="L17" i="1" s="1"/>
  <c r="F18" i="1"/>
  <c r="J18" i="1" s="1"/>
  <c r="F19" i="1"/>
  <c r="J19" i="1" s="1"/>
  <c r="K19" i="1" s="1"/>
  <c r="F20" i="1"/>
  <c r="J20" i="1" s="1"/>
  <c r="K20" i="1" s="1"/>
  <c r="F29" i="1"/>
  <c r="J29" i="1" s="1"/>
  <c r="F36" i="1"/>
  <c r="J36" i="1" s="1"/>
  <c r="K36" i="1" s="1"/>
  <c r="J6" i="1" l="1"/>
  <c r="T35" i="1"/>
  <c r="S35" i="1"/>
  <c r="X35" i="1" s="1"/>
  <c r="Y35" i="1" s="1"/>
  <c r="K34" i="1"/>
  <c r="L34" i="1"/>
  <c r="L11" i="1"/>
  <c r="P11" i="1" s="1"/>
  <c r="J24" i="1"/>
  <c r="K24" i="1" s="1"/>
  <c r="J27" i="1"/>
  <c r="K27" i="1" s="1"/>
  <c r="H25" i="1"/>
  <c r="L27" i="1"/>
  <c r="P27" i="1" s="1"/>
  <c r="L24" i="1"/>
  <c r="P24" i="1" s="1"/>
  <c r="H33" i="1"/>
  <c r="K23" i="1"/>
  <c r="L23" i="1"/>
  <c r="H23" i="1"/>
  <c r="J22" i="1"/>
  <c r="L25" i="1"/>
  <c r="P25" i="1" s="1"/>
  <c r="J26" i="1"/>
  <c r="K33" i="1"/>
  <c r="L33" i="1"/>
  <c r="J21" i="1"/>
  <c r="H21" i="1"/>
  <c r="J32" i="1"/>
  <c r="J37" i="1"/>
  <c r="K28" i="1"/>
  <c r="L28" i="1"/>
  <c r="H28" i="1"/>
  <c r="K5" i="1"/>
  <c r="L5" i="1"/>
  <c r="K14" i="1"/>
  <c r="L14" i="1"/>
  <c r="L8" i="1"/>
  <c r="K8" i="1"/>
  <c r="L36" i="1"/>
  <c r="P36" i="1" s="1"/>
  <c r="L19" i="1"/>
  <c r="P19" i="1" s="1"/>
  <c r="K31" i="1"/>
  <c r="L31" i="1"/>
  <c r="H31" i="1"/>
  <c r="J30" i="1"/>
  <c r="K17" i="1"/>
  <c r="P17" i="1" s="1"/>
  <c r="L15" i="1"/>
  <c r="P15" i="1" s="1"/>
  <c r="L10" i="1"/>
  <c r="P10" i="1" s="1"/>
  <c r="L7" i="1"/>
  <c r="P7" i="1" s="1"/>
  <c r="K29" i="1"/>
  <c r="L29" i="1"/>
  <c r="L20" i="1"/>
  <c r="P20" i="1" s="1"/>
  <c r="L12" i="1"/>
  <c r="P12" i="1" s="1"/>
  <c r="K16" i="1"/>
  <c r="L16" i="1"/>
  <c r="K13" i="1"/>
  <c r="L13" i="1"/>
  <c r="K6" i="1"/>
  <c r="L6" i="1"/>
  <c r="K18" i="1"/>
  <c r="L18" i="1"/>
  <c r="K9" i="1"/>
  <c r="L9" i="1"/>
  <c r="E38" i="1"/>
  <c r="H20" i="1"/>
  <c r="H15" i="1"/>
  <c r="P34" i="1" l="1"/>
  <c r="S34" i="1"/>
  <c r="T34" i="1"/>
  <c r="S11" i="1"/>
  <c r="T11" i="1"/>
  <c r="T27" i="1"/>
  <c r="S27" i="1"/>
  <c r="T24" i="1"/>
  <c r="S24" i="1"/>
  <c r="P23" i="1"/>
  <c r="S23" i="1" s="1"/>
  <c r="K22" i="1"/>
  <c r="L22" i="1"/>
  <c r="T25" i="1"/>
  <c r="S25" i="1"/>
  <c r="K26" i="1"/>
  <c r="L26" i="1"/>
  <c r="P33" i="1"/>
  <c r="K21" i="1"/>
  <c r="L21" i="1"/>
  <c r="P28" i="1"/>
  <c r="T28" i="1" s="1"/>
  <c r="K32" i="1"/>
  <c r="L32" i="1"/>
  <c r="K37" i="1"/>
  <c r="L37" i="1"/>
  <c r="P14" i="1"/>
  <c r="P29" i="1"/>
  <c r="P5" i="1"/>
  <c r="P18" i="1"/>
  <c r="P16" i="1"/>
  <c r="P8" i="1"/>
  <c r="P9" i="1"/>
  <c r="P31" i="1"/>
  <c r="T31" i="1" s="1"/>
  <c r="L30" i="1"/>
  <c r="K30" i="1"/>
  <c r="P13" i="1"/>
  <c r="P6" i="1"/>
  <c r="X11" i="1" l="1"/>
  <c r="Y11" i="1" s="1"/>
  <c r="X24" i="1"/>
  <c r="Y24" i="1" s="1"/>
  <c r="X34" i="1"/>
  <c r="Y34" i="1" s="1"/>
  <c r="X27" i="1"/>
  <c r="Y27" i="1" s="1"/>
  <c r="P26" i="1"/>
  <c r="T26" i="1" s="1"/>
  <c r="T23" i="1"/>
  <c r="X23" i="1" s="1"/>
  <c r="Y23" i="1" s="1"/>
  <c r="P22" i="1"/>
  <c r="T22" i="1" s="1"/>
  <c r="X25" i="1"/>
  <c r="Y25" i="1" s="1"/>
  <c r="S33" i="1"/>
  <c r="T33" i="1"/>
  <c r="P21" i="1"/>
  <c r="P32" i="1"/>
  <c r="T32" i="1" s="1"/>
  <c r="S28" i="1"/>
  <c r="X28" i="1" s="1"/>
  <c r="Y28" i="1" s="1"/>
  <c r="P37" i="1"/>
  <c r="S37" i="1" s="1"/>
  <c r="S31" i="1"/>
  <c r="X31" i="1" s="1"/>
  <c r="Y31" i="1" s="1"/>
  <c r="P30" i="1"/>
  <c r="S30" i="1" s="1"/>
  <c r="T20" i="1"/>
  <c r="S20" i="1"/>
  <c r="T15" i="1"/>
  <c r="S15" i="1"/>
  <c r="S26" i="1" l="1"/>
  <c r="X26" i="1" s="1"/>
  <c r="Y26" i="1" s="1"/>
  <c r="S22" i="1"/>
  <c r="X22" i="1" s="1"/>
  <c r="Y22" i="1" s="1"/>
  <c r="X33" i="1"/>
  <c r="Y33" i="1" s="1"/>
  <c r="T21" i="1"/>
  <c r="S21" i="1"/>
  <c r="S32" i="1"/>
  <c r="X32" i="1" s="1"/>
  <c r="Y32" i="1" s="1"/>
  <c r="T37" i="1"/>
  <c r="X37" i="1" s="1"/>
  <c r="Y37" i="1" s="1"/>
  <c r="T30" i="1"/>
  <c r="X30" i="1" s="1"/>
  <c r="Y30" i="1" s="1"/>
  <c r="X15" i="1"/>
  <c r="Y15" i="1" s="1"/>
  <c r="X20" i="1"/>
  <c r="Y20" i="1" s="1"/>
  <c r="X21" i="1" l="1"/>
  <c r="H10" i="1"/>
  <c r="Y21" i="1" l="1"/>
  <c r="T10" i="1"/>
  <c r="G17" i="6"/>
  <c r="E15" i="6"/>
  <c r="D15" i="6"/>
  <c r="G14" i="6"/>
  <c r="G13" i="6"/>
  <c r="G12" i="6"/>
  <c r="G11" i="6"/>
  <c r="G10" i="6"/>
  <c r="G9" i="6"/>
  <c r="G8" i="6"/>
  <c r="G7" i="6"/>
  <c r="G6" i="6"/>
  <c r="G5" i="6"/>
  <c r="E16" i="5"/>
  <c r="D16" i="5"/>
  <c r="G15" i="5"/>
  <c r="G14" i="5"/>
  <c r="G13" i="5"/>
  <c r="G12" i="5"/>
  <c r="G11" i="5"/>
  <c r="G10" i="5"/>
  <c r="G9" i="5"/>
  <c r="G8" i="5"/>
  <c r="G7" i="5"/>
  <c r="G5" i="5"/>
  <c r="E136" i="4"/>
  <c r="D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E160" i="3"/>
  <c r="D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H19" i="1"/>
  <c r="H18" i="1"/>
  <c r="S17" i="1"/>
  <c r="H14" i="1"/>
  <c r="H13" i="1"/>
  <c r="H9" i="1"/>
  <c r="H8" i="1"/>
  <c r="H7" i="1"/>
  <c r="H6" i="1"/>
  <c r="G136" i="4" l="1"/>
  <c r="J20" i="5" s="1"/>
  <c r="G16" i="5"/>
  <c r="G15" i="6"/>
  <c r="S10" i="1"/>
  <c r="X10" i="1" s="1"/>
  <c r="Y10" i="1" s="1"/>
  <c r="S9" i="1"/>
  <c r="T17" i="1"/>
  <c r="X17" i="1" s="1"/>
  <c r="Y17" i="1" s="1"/>
  <c r="G160" i="3"/>
  <c r="S18" i="1" l="1"/>
  <c r="T9" i="1"/>
  <c r="X9" i="1" s="1"/>
  <c r="Y9" i="1" s="1"/>
  <c r="T19" i="1"/>
  <c r="S8" i="1"/>
  <c r="T7" i="1"/>
  <c r="T14" i="1"/>
  <c r="S13" i="1"/>
  <c r="T13" i="1"/>
  <c r="T6" i="1"/>
  <c r="S6" i="1"/>
  <c r="T8" i="1"/>
  <c r="S19" i="1" l="1"/>
  <c r="X19" i="1" s="1"/>
  <c r="Y19" i="1" s="1"/>
  <c r="T18" i="1"/>
  <c r="X18" i="1" s="1"/>
  <c r="Y18" i="1" s="1"/>
  <c r="S14" i="1"/>
  <c r="X14" i="1" s="1"/>
  <c r="Y14" i="1" s="1"/>
  <c r="S7" i="1"/>
  <c r="X7" i="1" s="1"/>
  <c r="Y7" i="1" s="1"/>
  <c r="X6" i="1"/>
  <c r="X8" i="1"/>
  <c r="Y8" i="1" s="1"/>
  <c r="X13" i="1"/>
  <c r="Y13" i="1" s="1"/>
  <c r="Y6" i="1" l="1"/>
</calcChain>
</file>

<file path=xl/sharedStrings.xml><?xml version="1.0" encoding="utf-8"?>
<sst xmlns="http://schemas.openxmlformats.org/spreadsheetml/2006/main" count="1130" uniqueCount="444">
  <si>
    <t>Sri Venkateswara College Of Engineering and Technology</t>
  </si>
  <si>
    <t>S No</t>
  </si>
  <si>
    <t>Name of the Staff</t>
  </si>
  <si>
    <t>Designation</t>
  </si>
  <si>
    <t>Total
Salary</t>
  </si>
  <si>
    <t>Consolidated salary</t>
  </si>
  <si>
    <t>Basic</t>
  </si>
  <si>
    <t>AGP</t>
  </si>
  <si>
    <t>Total</t>
  </si>
  <si>
    <t>No of
Days</t>
  </si>
  <si>
    <t>Basic
+ AGP</t>
  </si>
  <si>
    <t>DA</t>
  </si>
  <si>
    <t>HRA</t>
  </si>
  <si>
    <t>Arrears</t>
  </si>
  <si>
    <t>FA</t>
  </si>
  <si>
    <t>TA/SA</t>
  </si>
  <si>
    <t>Gross
Total</t>
  </si>
  <si>
    <t>EPF</t>
  </si>
  <si>
    <t>IT</t>
  </si>
  <si>
    <t>PT</t>
  </si>
  <si>
    <t>WF</t>
  </si>
  <si>
    <t>EB</t>
  </si>
  <si>
    <t>Mess</t>
  </si>
  <si>
    <t>Bus/ others</t>
  </si>
  <si>
    <t>Tot Ded</t>
  </si>
  <si>
    <t>Net
Salary</t>
  </si>
  <si>
    <t>PNB Account
Number</t>
  </si>
  <si>
    <t>IFSC Code</t>
  </si>
  <si>
    <t>TEACHING STAFF</t>
  </si>
  <si>
    <t>Vice Chairman</t>
  </si>
  <si>
    <t>Dr. M Mohan Babu</t>
  </si>
  <si>
    <t>Principal</t>
  </si>
  <si>
    <t>Dr.B.Damodhara Reddy</t>
  </si>
  <si>
    <t>Assoc.Prof &amp; HOD</t>
  </si>
  <si>
    <t>4017000402714457</t>
  </si>
  <si>
    <t>4017000402716181</t>
  </si>
  <si>
    <t>B.Raja Sekhar</t>
  </si>
  <si>
    <t>4017000402717719</t>
  </si>
  <si>
    <t>Asst.Prof</t>
  </si>
  <si>
    <t>Dr Y.N.Vijaya Kumar</t>
  </si>
  <si>
    <t>4017000402713935</t>
  </si>
  <si>
    <t>Assoc.Prof</t>
  </si>
  <si>
    <t>4017000402714077</t>
  </si>
  <si>
    <t>4017000402715702</t>
  </si>
  <si>
    <t>Asst Prof</t>
  </si>
  <si>
    <t>G.Devanatha Reddy</t>
  </si>
  <si>
    <t>4017000402717180</t>
  </si>
  <si>
    <t>4017000402728715</t>
  </si>
  <si>
    <t>Professor</t>
  </si>
  <si>
    <t>4017000402728706</t>
  </si>
  <si>
    <t>Dr A.R.Babu</t>
  </si>
  <si>
    <t>4017000402722492</t>
  </si>
  <si>
    <t>4017000402716589</t>
  </si>
  <si>
    <t>4017000102775822</t>
  </si>
  <si>
    <t>N.Sakthivelan</t>
  </si>
  <si>
    <t>4017000402716941</t>
  </si>
  <si>
    <t>S. Jawahar</t>
  </si>
  <si>
    <t>4017006900000287</t>
  </si>
  <si>
    <t>R Rajesh</t>
  </si>
  <si>
    <t>4017000402713838</t>
  </si>
  <si>
    <t>4017000102775716</t>
  </si>
  <si>
    <t>4932000100085114</t>
  </si>
  <si>
    <t>4017000402722030</t>
  </si>
  <si>
    <t>V.Jayachandra Naidu</t>
  </si>
  <si>
    <t>4017000402716084</t>
  </si>
  <si>
    <t>S.Nagaraj</t>
  </si>
  <si>
    <t>4017000402716543</t>
  </si>
  <si>
    <t>4017000402715818</t>
  </si>
  <si>
    <t>Dept of CSE</t>
  </si>
  <si>
    <t>4017000402716136</t>
  </si>
  <si>
    <t>IDIB000C065</t>
  </si>
  <si>
    <t>154010100097580</t>
  </si>
  <si>
    <t>UBIN0818178</t>
  </si>
  <si>
    <t>30645612316</t>
  </si>
  <si>
    <t>SBIN0000266</t>
  </si>
  <si>
    <t>50100270359814</t>
  </si>
  <si>
    <t>HDFC0004386</t>
  </si>
  <si>
    <t>7229965437</t>
  </si>
  <si>
    <t>IDIB000N116</t>
  </si>
  <si>
    <t>Dept of  CSM</t>
  </si>
  <si>
    <t xml:space="preserve">Asst.Prof </t>
  </si>
  <si>
    <t>35159581201</t>
  </si>
  <si>
    <t>SBIN0001197</t>
  </si>
  <si>
    <t>Dept of CSD</t>
  </si>
  <si>
    <t>7058933042</t>
  </si>
  <si>
    <t>IDIB000A127</t>
  </si>
  <si>
    <t>KKBK0007851</t>
  </si>
  <si>
    <t>SBIN0000880</t>
  </si>
  <si>
    <t>Dept of CAI</t>
  </si>
  <si>
    <t>4017000402714581</t>
  </si>
  <si>
    <t>Dept of IT</t>
  </si>
  <si>
    <t>4017000402714031</t>
  </si>
  <si>
    <t>N.Sendhil Kumar</t>
  </si>
  <si>
    <t>M.Satish Kumar</t>
  </si>
  <si>
    <t>4017000402714280</t>
  </si>
  <si>
    <t>G.Dhanasekar</t>
  </si>
  <si>
    <t>4017000402713892</t>
  </si>
  <si>
    <t>Dr.E.Lokanadha Reddy</t>
  </si>
  <si>
    <t>4017000402714095</t>
  </si>
  <si>
    <t>4017000402714059</t>
  </si>
  <si>
    <t>4017000402718648</t>
  </si>
  <si>
    <t>M.Jalaja</t>
  </si>
  <si>
    <t>4017000402716729</t>
  </si>
  <si>
    <t xml:space="preserve">M.Suresh </t>
  </si>
  <si>
    <t>4017000402714721</t>
  </si>
  <si>
    <t>K.Bindhumadhavi</t>
  </si>
  <si>
    <t>4017000402722386</t>
  </si>
  <si>
    <t xml:space="preserve">Dr.K.Komala </t>
  </si>
  <si>
    <t>Professor &amp; HOD</t>
  </si>
  <si>
    <t>4017000402716668</t>
  </si>
  <si>
    <t>4557000400008236</t>
  </si>
  <si>
    <t>Dr S Gouse Mohiddin</t>
  </si>
  <si>
    <t>4017000102779837</t>
  </si>
  <si>
    <t>Assco.Prof</t>
  </si>
  <si>
    <t>4017000402722377</t>
  </si>
  <si>
    <t xml:space="preserve">Dr.V.L.Nirmal Bhargavi </t>
  </si>
  <si>
    <t>4017000402716233</t>
  </si>
  <si>
    <t>Dr.M.Earnest Stephen Gnanadoss</t>
  </si>
  <si>
    <t>6051557934</t>
  </si>
  <si>
    <t>4017000402722270</t>
  </si>
  <si>
    <t>A.Bhuvaneswari</t>
  </si>
  <si>
    <t>4017000402716224</t>
  </si>
  <si>
    <t xml:space="preserve">V Vidya </t>
  </si>
  <si>
    <t>V.Sujatha</t>
  </si>
  <si>
    <t>4017000402722289</t>
  </si>
  <si>
    <t>S.Swathy</t>
  </si>
  <si>
    <t>0949101043867</t>
  </si>
  <si>
    <t>G.B.Reddy</t>
  </si>
  <si>
    <t>P.D</t>
  </si>
  <si>
    <t>4017000402715739</t>
  </si>
  <si>
    <t xml:space="preserve">Total </t>
  </si>
  <si>
    <t>Prepared By</t>
  </si>
  <si>
    <t>Verified By</t>
  </si>
  <si>
    <t>Accounts Officer</t>
  </si>
  <si>
    <t>HR</t>
  </si>
  <si>
    <t>Salary Bill for the Month of May 2021</t>
  </si>
  <si>
    <t>4017000402717199</t>
  </si>
  <si>
    <t xml:space="preserve">V Giridhar Kumar </t>
  </si>
  <si>
    <t>4017000402728788</t>
  </si>
  <si>
    <t>N.Kiran Kumar</t>
  </si>
  <si>
    <t>R.Anil Kumar</t>
  </si>
  <si>
    <t>4017000402717108</t>
  </si>
  <si>
    <t>V Siva Kumar</t>
  </si>
  <si>
    <t>4017000402729006</t>
  </si>
  <si>
    <t>K Hemanth Kumar</t>
  </si>
  <si>
    <t>4017000102779712</t>
  </si>
  <si>
    <t>Salvator Lawence</t>
  </si>
  <si>
    <t>20300030401</t>
  </si>
  <si>
    <t>Senthamizh Selvan</t>
  </si>
  <si>
    <t>574485388</t>
  </si>
  <si>
    <t>Priscillah</t>
  </si>
  <si>
    <t>50100195084174</t>
  </si>
  <si>
    <t xml:space="preserve">Dr S Ranjith </t>
  </si>
  <si>
    <t>620343986</t>
  </si>
  <si>
    <t>Prof&amp; HOD</t>
  </si>
  <si>
    <t>S.Senthil</t>
  </si>
  <si>
    <t>Dr P Monica</t>
  </si>
  <si>
    <t>4017000102779794</t>
  </si>
  <si>
    <t>Dr Yatindra Gopal</t>
  </si>
  <si>
    <t>P.R.Murali Mohan</t>
  </si>
  <si>
    <t>4017000402715386</t>
  </si>
  <si>
    <t>C  Vimal Raj</t>
  </si>
  <si>
    <t>4017000402728751</t>
  </si>
  <si>
    <t>G.Balasundaram</t>
  </si>
  <si>
    <t>G.Venkata Pradeep</t>
  </si>
  <si>
    <t>4017000402717135</t>
  </si>
  <si>
    <t>Jaya Chandra Panigrahi</t>
  </si>
  <si>
    <t>4017000102780736</t>
  </si>
  <si>
    <t>Sabarinath G</t>
  </si>
  <si>
    <t>4017000102778971</t>
  </si>
  <si>
    <t>Narmada</t>
  </si>
  <si>
    <t>32076912241</t>
  </si>
  <si>
    <t>P Dinesh Kumar</t>
  </si>
  <si>
    <t>4017000102781106</t>
  </si>
  <si>
    <t>Dr.C.Vijaya Bhaskar Reddy</t>
  </si>
  <si>
    <t xml:space="preserve">Professor &amp; Vice Principal
</t>
  </si>
  <si>
    <t>4017000102764260</t>
  </si>
  <si>
    <t>V Harinadh</t>
  </si>
  <si>
    <t>Assco.Prof  HOD</t>
  </si>
  <si>
    <t>4017000402728724</t>
  </si>
  <si>
    <t>Dr C Ahilan</t>
  </si>
  <si>
    <t>Dr V Velu Mani</t>
  </si>
  <si>
    <t>4017000402728867</t>
  </si>
  <si>
    <t>Dr Ranjith Kumar G</t>
  </si>
  <si>
    <t>616065357</t>
  </si>
  <si>
    <t>C.Umamaheswari</t>
  </si>
  <si>
    <t>P Pradeep</t>
  </si>
  <si>
    <t>4017000402727877</t>
  </si>
  <si>
    <t xml:space="preserve">S Johny James </t>
  </si>
  <si>
    <t>K Divya Teja</t>
  </si>
  <si>
    <t>4017000402727716</t>
  </si>
  <si>
    <t>V K Sri Murali</t>
  </si>
  <si>
    <t>4017000402729042</t>
  </si>
  <si>
    <t>Arun  Sacos</t>
  </si>
  <si>
    <t>A Kesavulu</t>
  </si>
  <si>
    <t>616065335</t>
  </si>
  <si>
    <t xml:space="preserve">A Rajasekhar </t>
  </si>
  <si>
    <t>4017000402717153</t>
  </si>
  <si>
    <t xml:space="preserve">Dr S Jagadeesha </t>
  </si>
  <si>
    <t>4017000402728894</t>
  </si>
  <si>
    <t xml:space="preserve">Dr. T Muni Reddy </t>
  </si>
  <si>
    <t>4198000100062311</t>
  </si>
  <si>
    <t>Dr Jean Jenifer Nesam</t>
  </si>
  <si>
    <t>611062612</t>
  </si>
  <si>
    <t>Dr S Narasimman</t>
  </si>
  <si>
    <t>4017000102780523</t>
  </si>
  <si>
    <t>Dr T S Ghouse Basha</t>
  </si>
  <si>
    <t xml:space="preserve">M.Chitra </t>
  </si>
  <si>
    <t>4017000402714466</t>
  </si>
  <si>
    <t>R Malikarjuna Reddy</t>
  </si>
  <si>
    <t>4017000402728928</t>
  </si>
  <si>
    <t>Dr P Bhuvaneswari</t>
  </si>
  <si>
    <t>7926000100018699</t>
  </si>
  <si>
    <t>Priya Darshini</t>
  </si>
  <si>
    <t>4017000402729051</t>
  </si>
  <si>
    <t>K.Venkataramana Reddy</t>
  </si>
  <si>
    <t>4017000102774841</t>
  </si>
  <si>
    <t>Om Prakash</t>
  </si>
  <si>
    <t>M.Mohan Raju</t>
  </si>
  <si>
    <t>4017000402717816</t>
  </si>
  <si>
    <t>D.Srihari</t>
  </si>
  <si>
    <t>M Kalpana</t>
  </si>
  <si>
    <t>4017000402722094</t>
  </si>
  <si>
    <t>D Vani</t>
  </si>
  <si>
    <t>4017000402727497</t>
  </si>
  <si>
    <t xml:space="preserve">Debanjan Sarkar </t>
  </si>
  <si>
    <t>4017000402728760</t>
  </si>
  <si>
    <t xml:space="preserve">M.Chamini </t>
  </si>
  <si>
    <t>4017000302710586</t>
  </si>
  <si>
    <t xml:space="preserve">Anand Prem.PK </t>
  </si>
  <si>
    <t>3301000104118349</t>
  </si>
  <si>
    <t>A.Maheswary</t>
  </si>
  <si>
    <t>Dr.S.Ranjani</t>
  </si>
  <si>
    <t>0486000100375310</t>
  </si>
  <si>
    <t>G.Sreepriya</t>
  </si>
  <si>
    <t>P.Subramanyam</t>
  </si>
  <si>
    <t>4017000402715012</t>
  </si>
  <si>
    <t>R Kannan</t>
  </si>
  <si>
    <t>4017000102780426</t>
  </si>
  <si>
    <t>P.Jyotheeswari</t>
  </si>
  <si>
    <t>K.Thyagarajan</t>
  </si>
  <si>
    <t>Dr Amstrong Joseph</t>
  </si>
  <si>
    <t>062001000808414</t>
  </si>
  <si>
    <t>Dr Krishna Anand</t>
  </si>
  <si>
    <t>Dr Sailesh kumar</t>
  </si>
  <si>
    <t>3032001500001746</t>
  </si>
  <si>
    <t>Dr Sai Prasad</t>
  </si>
  <si>
    <t>4017000102779749</t>
  </si>
  <si>
    <t xml:space="preserve">S.Anusha </t>
  </si>
  <si>
    <t>4017000402725240</t>
  </si>
  <si>
    <t>Viswanath G</t>
  </si>
  <si>
    <t>37834654781</t>
  </si>
  <si>
    <t>A B Manju</t>
  </si>
  <si>
    <t>4017000402718213</t>
  </si>
  <si>
    <t>T Sangeetha</t>
  </si>
  <si>
    <t>13002612000179</t>
  </si>
  <si>
    <t>Sathish Kumar N</t>
  </si>
  <si>
    <t>218001001044524</t>
  </si>
  <si>
    <t>Amit Ranjan</t>
  </si>
  <si>
    <t>3292004800000035</t>
  </si>
  <si>
    <t>J Balaji</t>
  </si>
  <si>
    <t>Placement Trainer</t>
  </si>
  <si>
    <t>4017000402727655</t>
  </si>
  <si>
    <t>M B Sailaja</t>
  </si>
  <si>
    <t>4017000102780833</t>
  </si>
  <si>
    <t>Pandreti Praveen</t>
  </si>
  <si>
    <t>4017000402729352</t>
  </si>
  <si>
    <t>P Shanumuga Sundari</t>
  </si>
  <si>
    <t>0486000100375329</t>
  </si>
  <si>
    <t>Sujitha K Y</t>
  </si>
  <si>
    <t>181810100171262</t>
  </si>
  <si>
    <t>R Eswar Reddy</t>
  </si>
  <si>
    <t>4017000102779776</t>
  </si>
  <si>
    <t>Dr.D.Bright Anand</t>
  </si>
  <si>
    <t>605801508001</t>
  </si>
  <si>
    <t>Dr.R.Madonna Arith</t>
  </si>
  <si>
    <t>10743027376</t>
  </si>
  <si>
    <t>Dr.B Chandra Sekhar</t>
  </si>
  <si>
    <t>069001503409</t>
  </si>
  <si>
    <t>SK Jamil Ahmed</t>
  </si>
  <si>
    <t>0183040120001369</t>
  </si>
  <si>
    <t>V Chandra Sekhar</t>
  </si>
  <si>
    <t>1425101023269</t>
  </si>
  <si>
    <t>Akora Murthy</t>
  </si>
  <si>
    <t>127801000021321</t>
  </si>
  <si>
    <t>D Nowshad Ali</t>
  </si>
  <si>
    <t>30075918883</t>
  </si>
  <si>
    <t>C Gnanaprakasam</t>
  </si>
  <si>
    <t>117001000822495</t>
  </si>
  <si>
    <t>M Vivekanandan</t>
  </si>
  <si>
    <t>421531433</t>
  </si>
  <si>
    <t xml:space="preserve">Dr J.Velmurugan </t>
  </si>
  <si>
    <t>Rajib Guhathakurta</t>
  </si>
  <si>
    <t>Assoc Prof</t>
  </si>
  <si>
    <t>0184104000162456</t>
  </si>
  <si>
    <t>B.Himabindu</t>
  </si>
  <si>
    <t>4198000100062454</t>
  </si>
  <si>
    <t>M Madhavan</t>
  </si>
  <si>
    <t>35893925939</t>
  </si>
  <si>
    <t>M.Sadhasivam</t>
  </si>
  <si>
    <t>30505828381</t>
  </si>
  <si>
    <t>Assoc.Prof
&amp; HOD</t>
  </si>
  <si>
    <t>4017000402713926</t>
  </si>
  <si>
    <t>A.M.Rangaraj</t>
  </si>
  <si>
    <t>4017000402714925</t>
  </si>
  <si>
    <t xml:space="preserve">Viswanath Mudaliar </t>
  </si>
  <si>
    <t>4017000402728946</t>
  </si>
  <si>
    <t>Nihar Ranjan Nayak</t>
  </si>
  <si>
    <t>605868517</t>
  </si>
  <si>
    <t>Subrata Chowdhury</t>
  </si>
  <si>
    <t>6049650392</t>
  </si>
  <si>
    <t>Professor
&amp; HOD</t>
  </si>
  <si>
    <t>Dr.N.Giri Babu</t>
  </si>
  <si>
    <t xml:space="preserve">Asso.Prof
</t>
  </si>
  <si>
    <t>Dr.M.Vidhya Sagar</t>
  </si>
  <si>
    <t>4017000402717205</t>
  </si>
  <si>
    <t xml:space="preserve">T.Raja Reddy </t>
  </si>
  <si>
    <t>Assoc.Prof&amp; HOD</t>
  </si>
  <si>
    <t>Somdev Bannerjee</t>
  </si>
  <si>
    <t>Director-TAP</t>
  </si>
  <si>
    <t>4017000402728627</t>
  </si>
  <si>
    <t>K.Srinivasan</t>
  </si>
  <si>
    <t>4017000402717603</t>
  </si>
  <si>
    <t xml:space="preserve">Dr.C.Rajanikanth </t>
  </si>
  <si>
    <t>4017000402715377</t>
  </si>
  <si>
    <t>R.Hemanth Babu</t>
  </si>
  <si>
    <t>4017000402716987</t>
  </si>
  <si>
    <t>G.Rakesh Naidu</t>
  </si>
  <si>
    <t>4017000402715483</t>
  </si>
  <si>
    <t>M  Mohana Sundara Rajan</t>
  </si>
  <si>
    <t>4017000402727664</t>
  </si>
  <si>
    <t xml:space="preserve">M Pragnashree </t>
  </si>
  <si>
    <t>4017000402716066</t>
  </si>
  <si>
    <t>Rama Thulasi</t>
  </si>
  <si>
    <t>Ph.D Scholar</t>
  </si>
  <si>
    <t>4017000402722395</t>
  </si>
  <si>
    <t>Assoc.Prof&amp;HOD</t>
  </si>
  <si>
    <t>Dr. Sudharsan Reddy</t>
  </si>
  <si>
    <t>4017000402715605</t>
  </si>
  <si>
    <t>Dr.Saran Raj</t>
  </si>
  <si>
    <t>4401000101084001</t>
  </si>
  <si>
    <t>T.Rajit Madhu Priya</t>
  </si>
  <si>
    <t>4017000402714800</t>
  </si>
  <si>
    <t xml:space="preserve">A Mohan Rami Reddy </t>
  </si>
  <si>
    <t>4017000402722304</t>
  </si>
  <si>
    <t>C.K.Selvi</t>
  </si>
  <si>
    <t>P Gopi Krishna</t>
  </si>
  <si>
    <t>G Naresh</t>
  </si>
  <si>
    <t>4017000402727390</t>
  </si>
  <si>
    <t>R Mohammed Ismail</t>
  </si>
  <si>
    <t>4017000102779688</t>
  </si>
  <si>
    <t>R Mohan Babu</t>
  </si>
  <si>
    <t>4017000402727549</t>
  </si>
  <si>
    <t>Dileep</t>
  </si>
  <si>
    <t>4017000102779679</t>
  </si>
  <si>
    <t>B Mahesh</t>
  </si>
  <si>
    <t>4017000402729370</t>
  </si>
  <si>
    <t>D Kishore</t>
  </si>
  <si>
    <t>22612413000363</t>
  </si>
  <si>
    <t>Shaik Ayesha</t>
  </si>
  <si>
    <t>4017000402729389</t>
  </si>
  <si>
    <t>R Dinesh Babu</t>
  </si>
  <si>
    <t>0486000100375189</t>
  </si>
  <si>
    <t>V Joysrani</t>
  </si>
  <si>
    <t>31713797845</t>
  </si>
  <si>
    <t>Padmavathi</t>
  </si>
  <si>
    <t>4017000402716640</t>
  </si>
  <si>
    <t>P M Badusha</t>
  </si>
  <si>
    <t>20228917178</t>
  </si>
  <si>
    <t>Polayiah</t>
  </si>
  <si>
    <t>20314110033</t>
  </si>
  <si>
    <t xml:space="preserve">R Mahesh </t>
  </si>
  <si>
    <t>4017000402727691</t>
  </si>
  <si>
    <t>R Vidya</t>
  </si>
  <si>
    <t>4017000402727646</t>
  </si>
  <si>
    <t>S Devayani</t>
  </si>
  <si>
    <t>168301000014598</t>
  </si>
  <si>
    <t>Dr.Gowri Shankar</t>
  </si>
  <si>
    <t>736304898</t>
  </si>
  <si>
    <t>Salary Bill for the Month of July 2018</t>
  </si>
  <si>
    <t>SBIN0002223</t>
  </si>
  <si>
    <t>SBIN0003288</t>
  </si>
  <si>
    <t>30609574631</t>
  </si>
  <si>
    <t>SBIN0064006</t>
  </si>
  <si>
    <t>909010033158241</t>
  </si>
  <si>
    <t>UTIB0000189</t>
  </si>
  <si>
    <t>33486654536</t>
  </si>
  <si>
    <t>SBIN0003185</t>
  </si>
  <si>
    <t>34088337418</t>
  </si>
  <si>
    <t>SBIN0040620</t>
  </si>
  <si>
    <t>P. M. Vijay Kumar</t>
  </si>
  <si>
    <t>S. Raam Kishore</t>
  </si>
  <si>
    <t>C. Krishna Moorthy</t>
  </si>
  <si>
    <t>500101012263586</t>
  </si>
  <si>
    <t>CIUB0000065</t>
  </si>
  <si>
    <t>M. Prasuna</t>
  </si>
  <si>
    <t>188001000022812</t>
  </si>
  <si>
    <t>IOBA0001880</t>
  </si>
  <si>
    <t>Dr. Aravindhan S</t>
  </si>
  <si>
    <t>CBIN0284148</t>
  </si>
  <si>
    <t>3212229177</t>
  </si>
  <si>
    <t>G. Dorairaj Priyanka</t>
  </si>
  <si>
    <t>K Pavani</t>
  </si>
  <si>
    <t>P. Dorababu</t>
  </si>
  <si>
    <t>B. Surendra</t>
  </si>
  <si>
    <t>R. Gnanesh</t>
  </si>
  <si>
    <t>G Sivanandham</t>
  </si>
  <si>
    <t>IDIB000C026</t>
  </si>
  <si>
    <t>SBIN0000851</t>
  </si>
  <si>
    <t>KVBL0001440</t>
  </si>
  <si>
    <t>CNRB0005700</t>
  </si>
  <si>
    <t>110005594812</t>
  </si>
  <si>
    <t>32881302783</t>
  </si>
  <si>
    <t>8276392969</t>
  </si>
  <si>
    <t>6175409179</t>
  </si>
  <si>
    <t>844676137</t>
  </si>
  <si>
    <t>IDIB000S012</t>
  </si>
  <si>
    <t>1440166000020233</t>
  </si>
  <si>
    <t>NEW</t>
  </si>
  <si>
    <t>Dr. Shailesh Kumar</t>
  </si>
  <si>
    <t>5909711224</t>
  </si>
  <si>
    <t>CBIN0283831</t>
  </si>
  <si>
    <t>M. Sheebha</t>
  </si>
  <si>
    <t>M. Jagadeeshbabu</t>
  </si>
  <si>
    <t>UBIN0542334</t>
  </si>
  <si>
    <t>HDFC0002058</t>
  </si>
  <si>
    <t>153610100098996</t>
  </si>
  <si>
    <t>50100213659722</t>
  </si>
  <si>
    <t>Teaching Faculty (ID) - Salary Bill for the Month of June - 2026</t>
  </si>
  <si>
    <t>Sri Venkateswara College of Engineering and Technology</t>
  </si>
  <si>
    <t>Mr. L. Gopi Krishna Reddy</t>
  </si>
  <si>
    <t>Ms. Shaik Farhana</t>
  </si>
  <si>
    <t>Ms. S. Komala</t>
  </si>
  <si>
    <t>Ms. V. Sujatha</t>
  </si>
  <si>
    <t>Mr. B. Palani Chelvan</t>
  </si>
  <si>
    <t>Ms. G. Priyanka</t>
  </si>
  <si>
    <t>Ms. M. Anitha</t>
  </si>
  <si>
    <t>Mr. Guru Mohan</t>
  </si>
  <si>
    <t>Dr. R. Rajasekar</t>
  </si>
  <si>
    <t>Mr. B. Manoj</t>
  </si>
  <si>
    <t>Mr. Shanmuga Sundaram</t>
  </si>
  <si>
    <t>Ms. K. Swetha</t>
  </si>
  <si>
    <t>Mr. Indla Srujan Krishna Reddy</t>
  </si>
  <si>
    <t>Ms. T. Triveni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</si>
</sst>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</numFmts>
  <fonts count="19">
    <font>
      <sz val="11"/>
      <color rgb="FF000000"/>
      <name val="Calibri"/>
      <charset val="134"/>
      <scheme val="minor"/>
    </font>
    <font>
      <b/>
      <sz val="10"/>
      <color rgb="FF17365D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0"/>
      <color rgb="FF506070"/>
      <name val="Effra"/>
      <charset val="134"/>
    </font>
    <font>
      <sz val="11"/>
      <color rgb="FF000000"/>
      <name val="Calibri"/>
      <family val="2"/>
      <scheme val="minor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b/>
      <sz val="10"/>
      <color rgb="FF17365D"/>
      <name val="Times New Roman"/>
      <family val="1"/>
    </font>
    <font>
      <sz val="10"/>
      <color rgb="FF000000"/>
      <name val="Times New Roman"/>
      <family val="1"/>
    </font>
    <font>
      <b/>
      <sz val="9"/>
      <name val="Times New Roman"/>
      <family val="1"/>
    </font>
    <font>
      <b/>
      <sz val="8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b/>
      <sz val="12"/>
      <name val="Times New Roman"/>
      <family val="1"/>
    </font>
    <font>
      <b/>
      <sz val="9"/>
      <color rgb="FF17365D"/>
      <name val="Times New Roman"/>
      <family val="1"/>
    </font>
    <font>
      <sz val="9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theme="4" tint="0.79995117038483843"/>
        <bgColor indexed="64"/>
      </patternFill>
    </fill>
  </fills>
  <borders count="11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20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16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5" fontId="2" fillId="2" borderId="0" xfId="0" applyNumberFormat="1" applyFont="1" applyFill="1" applyAlignment="1">
      <alignment horizontal="center" vertical="center"/>
    </xf>
    <xf numFmtId="165" fontId="2" fillId="2" borderId="0" xfId="0" applyNumberFormat="1" applyFont="1" applyFill="1" applyAlignment="1">
      <alignment vertical="center" wrapText="1"/>
    </xf>
    <xf numFmtId="165" fontId="2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165" fontId="2" fillId="2" borderId="0" xfId="0" applyNumberFormat="1" applyFont="1" applyFill="1" applyAlignment="1">
      <alignment horizontal="left" vertical="center" wrapText="1"/>
    </xf>
    <xf numFmtId="165" fontId="2" fillId="3" borderId="0" xfId="0" applyNumberFormat="1" applyFont="1" applyFill="1" applyAlignment="1">
      <alignment horizontal="center" vertical="center"/>
    </xf>
    <xf numFmtId="165" fontId="2" fillId="3" borderId="0" xfId="0" applyNumberFormat="1" applyFont="1" applyFill="1" applyAlignment="1">
      <alignment vertical="center" wrapText="1"/>
    </xf>
    <xf numFmtId="165" fontId="2" fillId="3" borderId="0" xfId="0" applyNumberFormat="1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vertical="center" wrapText="1"/>
    </xf>
    <xf numFmtId="165" fontId="3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/>
    </xf>
    <xf numFmtId="165" fontId="2" fillId="0" borderId="1" xfId="0" applyNumberFormat="1" applyFont="1" applyBorder="1" applyAlignment="1">
      <alignment vertical="center"/>
    </xf>
    <xf numFmtId="165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165" fontId="2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vertical="center" wrapText="1"/>
    </xf>
    <xf numFmtId="165" fontId="2" fillId="4" borderId="0" xfId="0" applyNumberFormat="1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165" fontId="2" fillId="4" borderId="0" xfId="0" applyNumberFormat="1" applyFont="1" applyFill="1" applyAlignment="1">
      <alignment vertical="center" wrapText="1"/>
    </xf>
    <xf numFmtId="165" fontId="2" fillId="4" borderId="0" xfId="0" applyNumberFormat="1" applyFont="1" applyFill="1" applyAlignment="1">
      <alignment horizontal="left" vertical="center" wrapText="1"/>
    </xf>
    <xf numFmtId="165" fontId="3" fillId="0" borderId="0" xfId="0" applyNumberFormat="1" applyFont="1" applyAlignment="1">
      <alignment vertical="center"/>
    </xf>
    <xf numFmtId="165" fontId="2" fillId="0" borderId="0" xfId="0" applyNumberFormat="1" applyFont="1" applyAlignment="1">
      <alignment vertical="center" wrapText="1"/>
    </xf>
    <xf numFmtId="165" fontId="2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left" vertical="center" wrapText="1"/>
    </xf>
    <xf numFmtId="164" fontId="2" fillId="0" borderId="0" xfId="0" quotePrefix="1" applyNumberFormat="1" applyFont="1" applyAlignment="1">
      <alignment horizontal="center" vertical="center"/>
    </xf>
    <xf numFmtId="164" fontId="2" fillId="4" borderId="0" xfId="0" quotePrefix="1" applyNumberFormat="1" applyFont="1" applyFill="1" applyAlignment="1">
      <alignment horizontal="center" vertical="center"/>
    </xf>
    <xf numFmtId="0" fontId="4" fillId="0" borderId="0" xfId="0" quotePrefix="1" applyFont="1"/>
    <xf numFmtId="165" fontId="2" fillId="0" borderId="0" xfId="0" quotePrefix="1" applyNumberFormat="1" applyFont="1" applyAlignment="1">
      <alignment horizontal="center" vertical="center"/>
    </xf>
    <xf numFmtId="165" fontId="2" fillId="2" borderId="0" xfId="0" quotePrefix="1" applyNumberFormat="1" applyFont="1" applyFill="1" applyAlignment="1">
      <alignment horizontal="center" vertical="center"/>
    </xf>
    <xf numFmtId="165" fontId="2" fillId="4" borderId="0" xfId="0" quotePrefix="1" applyNumberFormat="1" applyFont="1" applyFill="1" applyAlignment="1">
      <alignment horizontal="center" vertical="center"/>
    </xf>
    <xf numFmtId="165" fontId="2" fillId="3" borderId="0" xfId="0" quotePrefix="1" applyNumberFormat="1" applyFont="1" applyFill="1" applyAlignment="1">
      <alignment horizontal="center" vertical="center"/>
    </xf>
    <xf numFmtId="165" fontId="6" fillId="0" borderId="1" xfId="0" applyNumberFormat="1" applyFont="1" applyBorder="1" applyAlignment="1">
      <alignment vertical="center"/>
    </xf>
    <xf numFmtId="165" fontId="6" fillId="0" borderId="1" xfId="0" applyNumberFormat="1" applyFont="1" applyBorder="1"/>
    <xf numFmtId="166" fontId="6" fillId="0" borderId="1" xfId="0" applyNumberFormat="1" applyFont="1" applyBorder="1" applyAlignment="1">
      <alignment vertical="center"/>
    </xf>
    <xf numFmtId="0" fontId="8" fillId="0" borderId="0" xfId="0" applyFont="1"/>
    <xf numFmtId="165" fontId="6" fillId="0" borderId="0" xfId="0" applyNumberFormat="1" applyFont="1" applyAlignment="1">
      <alignment vertical="center"/>
    </xf>
    <xf numFmtId="165" fontId="6" fillId="0" borderId="0" xfId="0" applyNumberFormat="1" applyFont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0" fontId="11" fillId="0" borderId="0" xfId="0" applyFont="1"/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7" fillId="5" borderId="2" xfId="0" applyFont="1" applyFill="1" applyBorder="1" applyAlignment="1">
      <alignment vertical="center" wrapText="1"/>
    </xf>
    <xf numFmtId="166" fontId="7" fillId="0" borderId="2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165" fontId="15" fillId="0" borderId="2" xfId="0" applyNumberFormat="1" applyFont="1" applyBorder="1" applyAlignment="1">
      <alignment horizontal="center" vertical="center"/>
    </xf>
    <xf numFmtId="165" fontId="7" fillId="5" borderId="2" xfId="0" applyNumberFormat="1" applyFont="1" applyFill="1" applyBorder="1" applyAlignment="1">
      <alignment vertical="center" wrapText="1"/>
    </xf>
    <xf numFmtId="165" fontId="14" fillId="0" borderId="2" xfId="0" applyNumberFormat="1" applyFont="1" applyBorder="1" applyAlignment="1">
      <alignment horizontal="center" vertical="center" wrapText="1"/>
    </xf>
    <xf numFmtId="165" fontId="14" fillId="0" borderId="2" xfId="0" applyNumberFormat="1" applyFont="1" applyBorder="1" applyAlignment="1">
      <alignment horizontal="center" vertical="center"/>
    </xf>
    <xf numFmtId="166" fontId="14" fillId="0" borderId="2" xfId="0" applyNumberFormat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165" fontId="14" fillId="0" borderId="2" xfId="0" applyNumberFormat="1" applyFont="1" applyBorder="1" applyAlignment="1">
      <alignment vertical="center" wrapText="1"/>
    </xf>
    <xf numFmtId="0" fontId="14" fillId="0" borderId="3" xfId="0" quotePrefix="1" applyFont="1" applyBorder="1" applyAlignment="1">
      <alignment horizontal="center" vertical="center"/>
    </xf>
    <xf numFmtId="0" fontId="14" fillId="0" borderId="2" xfId="0" quotePrefix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4" fillId="0" borderId="0" xfId="0" applyFont="1"/>
    <xf numFmtId="0" fontId="11" fillId="0" borderId="2" xfId="0" applyFont="1" applyBorder="1" applyAlignment="1">
      <alignment horizontal="center"/>
    </xf>
    <xf numFmtId="0" fontId="14" fillId="0" borderId="3" xfId="1" quotePrefix="1" applyNumberFormat="1" applyFont="1" applyFill="1" applyBorder="1" applyAlignment="1" applyProtection="1">
      <alignment horizontal="center" vertical="center"/>
      <protection hidden="1"/>
    </xf>
    <xf numFmtId="0" fontId="14" fillId="0" borderId="2" xfId="0" applyFont="1" applyBorder="1" applyAlignment="1" applyProtection="1">
      <alignment horizontal="center" vertical="center"/>
      <protection hidden="1"/>
    </xf>
    <xf numFmtId="0" fontId="14" fillId="0" borderId="3" xfId="1" applyNumberFormat="1" applyFont="1" applyFill="1" applyBorder="1" applyAlignment="1" applyProtection="1">
      <alignment horizontal="center" vertical="center"/>
      <protection hidden="1"/>
    </xf>
    <xf numFmtId="165" fontId="12" fillId="0" borderId="2" xfId="0" applyNumberFormat="1" applyFont="1" applyBorder="1" applyAlignment="1">
      <alignment horizontal="center" vertical="center"/>
    </xf>
    <xf numFmtId="165" fontId="16" fillId="0" borderId="2" xfId="0" applyNumberFormat="1" applyFont="1" applyBorder="1" applyAlignment="1">
      <alignment vertical="center" wrapText="1"/>
    </xf>
    <xf numFmtId="165" fontId="7" fillId="0" borderId="2" xfId="0" applyNumberFormat="1" applyFont="1" applyBorder="1" applyAlignment="1">
      <alignment horizontal="center" vertical="center" wrapText="1"/>
    </xf>
    <xf numFmtId="165" fontId="12" fillId="0" borderId="2" xfId="0" applyNumberFormat="1" applyFont="1" applyBorder="1" applyAlignment="1">
      <alignment horizontal="center" vertical="center" wrapText="1"/>
    </xf>
    <xf numFmtId="165" fontId="12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vertical="center" wrapText="1"/>
    </xf>
    <xf numFmtId="165" fontId="7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165" fontId="15" fillId="0" borderId="0" xfId="0" applyNumberFormat="1" applyFont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65" fontId="17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vertical="center"/>
    </xf>
    <xf numFmtId="165" fontId="10" fillId="0" borderId="0" xfId="0" applyNumberFormat="1" applyFont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166" fontId="14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/>
    </xf>
    <xf numFmtId="166" fontId="14" fillId="0" borderId="0" xfId="0" applyNumberFormat="1" applyFont="1"/>
    <xf numFmtId="0" fontId="12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166" fontId="7" fillId="0" borderId="4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165" fontId="7" fillId="0" borderId="1" xfId="0" applyNumberFormat="1" applyFont="1" applyBorder="1" applyAlignment="1">
      <alignment horizontal="center"/>
    </xf>
    <xf numFmtId="165" fontId="7" fillId="0" borderId="0" xfId="0" applyNumberFormat="1" applyFont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165" fontId="1" fillId="0" borderId="0" xfId="0" applyNumberFormat="1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FF00"/>
      <color rgb="FF85D1FF"/>
      <color rgb="FF8B4583"/>
      <color rgb="FFFF6600"/>
      <color rgb="FFFF7C80"/>
      <color rgb="FFFF66CC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B47"/>
  <sheetViews>
    <sheetView tabSelected="1" zoomScale="120" zoomScaleNormal="120" workbookViewId="0">
      <pane ySplit="3" topLeftCell="A4" activePane="bottomLeft" state="frozen"/>
      <selection pane="bottomLeft" activeCell="C41" sqref="C41"/>
    </sheetView>
  </sheetViews>
  <sheetFormatPr defaultColWidth="14.42578125" defaultRowHeight="15" customHeight="1"/>
  <cols>
    <col min="1" max="1" width="4.85546875" style="99" customWidth="1"/>
    <col min="2" max="2" width="29.85546875" style="73" customWidth="1"/>
    <col min="3" max="3" width="11.85546875" style="54" customWidth="1"/>
    <col min="4" max="4" width="10.140625" style="54" customWidth="1"/>
    <col min="5" max="5" width="10.140625" style="54" hidden="1" customWidth="1"/>
    <col min="6" max="6" width="11.7109375" style="54" customWidth="1"/>
    <col min="7" max="7" width="9" style="54" hidden="1" customWidth="1"/>
    <col min="8" max="8" width="12.42578125" style="54" customWidth="1"/>
    <col min="9" max="9" width="6.85546875" style="100" customWidth="1"/>
    <col min="10" max="10" width="7.85546875" style="54" bestFit="1" customWidth="1"/>
    <col min="11" max="11" width="6.5703125" style="54" bestFit="1" customWidth="1"/>
    <col min="12" max="12" width="7" style="54" customWidth="1"/>
    <col min="13" max="13" width="6.5703125" style="54" hidden="1" customWidth="1"/>
    <col min="14" max="14" width="5.140625" style="54" hidden="1" customWidth="1"/>
    <col min="15" max="15" width="8.140625" style="54" hidden="1" customWidth="1"/>
    <col min="16" max="16" width="9.85546875" style="54" bestFit="1" customWidth="1"/>
    <col min="17" max="17" width="7.5703125" style="54" hidden="1" customWidth="1"/>
    <col min="18" max="18" width="9" style="54" hidden="1" customWidth="1"/>
    <col min="19" max="19" width="7.140625" style="54" hidden="1" customWidth="1"/>
    <col min="20" max="20" width="8.140625" style="54" customWidth="1"/>
    <col min="21" max="21" width="6.85546875" style="54" hidden="1" customWidth="1"/>
    <col min="22" max="23" width="7.5703125" style="54" hidden="1" customWidth="1"/>
    <col min="24" max="24" width="8.7109375" style="54" customWidth="1"/>
    <col min="25" max="25" width="11.140625" style="54" customWidth="1"/>
    <col min="26" max="26" width="19.140625" style="58" bestFit="1" customWidth="1"/>
    <col min="27" max="27" width="16.140625" style="58" customWidth="1"/>
    <col min="28" max="28" width="26.5703125" style="54" customWidth="1"/>
    <col min="29" max="16384" width="14.42578125" style="54"/>
  </cols>
  <sheetData>
    <row r="1" spans="1:27" ht="12.75">
      <c r="A1" s="111" t="s">
        <v>429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3"/>
    </row>
    <row r="2" spans="1:27" ht="12.75">
      <c r="A2" s="114" t="s">
        <v>428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6"/>
    </row>
    <row r="3" spans="1:27" s="58" customFormat="1" ht="25.5">
      <c r="A3" s="101" t="s">
        <v>1</v>
      </c>
      <c r="B3" s="102" t="s">
        <v>2</v>
      </c>
      <c r="C3" s="102" t="s">
        <v>3</v>
      </c>
      <c r="D3" s="102" t="s">
        <v>4</v>
      </c>
      <c r="E3" s="103" t="s">
        <v>5</v>
      </c>
      <c r="F3" s="102" t="s">
        <v>6</v>
      </c>
      <c r="G3" s="102" t="s">
        <v>7</v>
      </c>
      <c r="H3" s="102" t="s">
        <v>8</v>
      </c>
      <c r="I3" s="104" t="s">
        <v>9</v>
      </c>
      <c r="J3" s="102" t="s">
        <v>10</v>
      </c>
      <c r="K3" s="102" t="s">
        <v>11</v>
      </c>
      <c r="L3" s="102" t="s">
        <v>12</v>
      </c>
      <c r="M3" s="101" t="s">
        <v>13</v>
      </c>
      <c r="N3" s="102" t="s">
        <v>14</v>
      </c>
      <c r="O3" s="102" t="s">
        <v>15</v>
      </c>
      <c r="P3" s="102" t="s">
        <v>16</v>
      </c>
      <c r="Q3" s="102" t="s">
        <v>17</v>
      </c>
      <c r="R3" s="102" t="s">
        <v>18</v>
      </c>
      <c r="S3" s="102" t="s">
        <v>19</v>
      </c>
      <c r="T3" s="102" t="s">
        <v>20</v>
      </c>
      <c r="U3" s="102" t="s">
        <v>21</v>
      </c>
      <c r="V3" s="102" t="s">
        <v>22</v>
      </c>
      <c r="W3" s="102" t="s">
        <v>23</v>
      </c>
      <c r="X3" s="102" t="s">
        <v>24</v>
      </c>
      <c r="Y3" s="102" t="s">
        <v>25</v>
      </c>
      <c r="Z3" s="105" t="s">
        <v>26</v>
      </c>
      <c r="AA3" s="106" t="s">
        <v>27</v>
      </c>
    </row>
    <row r="4" spans="1:27" ht="12.75">
      <c r="A4" s="59"/>
      <c r="B4" s="60" t="s">
        <v>28</v>
      </c>
      <c r="C4" s="55"/>
      <c r="D4" s="57"/>
      <c r="E4" s="57"/>
      <c r="F4" s="57"/>
      <c r="G4" s="57"/>
      <c r="H4" s="57"/>
      <c r="I4" s="61">
        <v>30</v>
      </c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6"/>
      <c r="AA4" s="62"/>
    </row>
    <row r="5" spans="1:27" ht="12.75">
      <c r="A5" s="63"/>
      <c r="B5" s="64" t="s">
        <v>68</v>
      </c>
      <c r="C5" s="65"/>
      <c r="D5" s="66"/>
      <c r="E5" s="66"/>
      <c r="F5" s="66">
        <f t="shared" ref="F5" si="0">ROUND(D5/1.5331,0)</f>
        <v>0</v>
      </c>
      <c r="G5" s="66"/>
      <c r="H5" s="66"/>
      <c r="I5" s="67"/>
      <c r="J5" s="66">
        <f t="shared" ref="J5:J37" si="1">F5/I$4*I5</f>
        <v>0</v>
      </c>
      <c r="K5" s="66">
        <f t="shared" ref="K5" si="2">ROUND(J5*37.31%,0)</f>
        <v>0</v>
      </c>
      <c r="L5" s="66">
        <f t="shared" ref="L5" si="3">ROUND(J5*16%,0)</f>
        <v>0</v>
      </c>
      <c r="M5" s="66"/>
      <c r="N5" s="66"/>
      <c r="O5" s="66"/>
      <c r="P5" s="65">
        <f t="shared" ref="P5" si="4">ROUNDUP(J5+K5+L5+M5+N5+O5,0)</f>
        <v>0</v>
      </c>
      <c r="Q5" s="66"/>
      <c r="R5" s="66"/>
      <c r="S5" s="65"/>
      <c r="T5" s="65"/>
      <c r="U5" s="65"/>
      <c r="V5" s="65"/>
      <c r="W5" s="65"/>
      <c r="X5" s="65"/>
      <c r="Y5" s="65"/>
      <c r="Z5" s="68"/>
      <c r="AA5" s="62"/>
    </row>
    <row r="6" spans="1:27" ht="21.75" customHeight="1">
      <c r="A6" s="63">
        <v>1</v>
      </c>
      <c r="B6" s="69" t="s">
        <v>430</v>
      </c>
      <c r="C6" s="65" t="s">
        <v>38</v>
      </c>
      <c r="D6" s="65">
        <v>6000</v>
      </c>
      <c r="E6" s="65">
        <v>6000</v>
      </c>
      <c r="F6" s="66">
        <f t="shared" ref="F6:F37" si="5">ROUND(D6/1.5331,0)</f>
        <v>3914</v>
      </c>
      <c r="G6" s="66"/>
      <c r="H6" s="66">
        <f>G6+F6</f>
        <v>3914</v>
      </c>
      <c r="I6" s="67">
        <v>30</v>
      </c>
      <c r="J6" s="66">
        <f t="shared" si="1"/>
        <v>3914</v>
      </c>
      <c r="K6" s="66">
        <f t="shared" ref="K6:K37" si="6">ROUND(J6*37.31%,0)</f>
        <v>1460</v>
      </c>
      <c r="L6" s="66">
        <f t="shared" ref="L6:L37" si="7">ROUND(J6*16%,0)</f>
        <v>626</v>
      </c>
      <c r="M6" s="66"/>
      <c r="N6" s="66"/>
      <c r="O6" s="66"/>
      <c r="P6" s="65">
        <f t="shared" ref="P6:P37" si="8">ROUNDUP(J6+K6+L6+M6+N6+O6,0)</f>
        <v>6000</v>
      </c>
      <c r="Q6" s="65"/>
      <c r="R6" s="65"/>
      <c r="S6" s="65">
        <f t="shared" ref="S6:S9" si="9">IF(P6&gt;20001,200,IF(P6&gt;15001,150,IF(P6&lt;15000,0,)))</f>
        <v>0</v>
      </c>
      <c r="T6" s="65">
        <f t="shared" ref="T6" si="10">IF(P6,IF(1,75),IF(1,0))</f>
        <v>75</v>
      </c>
      <c r="U6" s="65"/>
      <c r="V6" s="65"/>
      <c r="W6" s="65"/>
      <c r="X6" s="65">
        <f t="shared" ref="X6:X9" si="11">SUM(Q6:W6)</f>
        <v>75</v>
      </c>
      <c r="Y6" s="65">
        <f t="shared" ref="Y6:Y9" si="12">P6-X6</f>
        <v>5925</v>
      </c>
      <c r="Z6" s="70" t="s">
        <v>71</v>
      </c>
      <c r="AA6" s="71" t="s">
        <v>72</v>
      </c>
    </row>
    <row r="7" spans="1:27" ht="21.75" customHeight="1">
      <c r="A7" s="63">
        <v>2</v>
      </c>
      <c r="B7" s="69" t="s">
        <v>431</v>
      </c>
      <c r="C7" s="65" t="s">
        <v>38</v>
      </c>
      <c r="D7" s="65">
        <v>6000</v>
      </c>
      <c r="E7" s="65">
        <v>6000</v>
      </c>
      <c r="F7" s="66">
        <f t="shared" si="5"/>
        <v>3914</v>
      </c>
      <c r="G7" s="66"/>
      <c r="H7" s="66">
        <f>G7+F7</f>
        <v>3914</v>
      </c>
      <c r="I7" s="67">
        <v>30</v>
      </c>
      <c r="J7" s="66">
        <f t="shared" si="1"/>
        <v>3914</v>
      </c>
      <c r="K7" s="66">
        <f t="shared" si="6"/>
        <v>1460</v>
      </c>
      <c r="L7" s="66">
        <f t="shared" si="7"/>
        <v>626</v>
      </c>
      <c r="M7" s="66"/>
      <c r="N7" s="66"/>
      <c r="O7" s="66"/>
      <c r="P7" s="65">
        <f t="shared" si="8"/>
        <v>6000</v>
      </c>
      <c r="Q7" s="65"/>
      <c r="R7" s="65"/>
      <c r="S7" s="65">
        <f t="shared" ref="S7" si="13">IF(P7&gt;20001,200,IF(P7&gt;15001,150,IF(P7&lt;15000,0,)))</f>
        <v>0</v>
      </c>
      <c r="T7" s="65">
        <f t="shared" ref="T7" si="14">IF(P7,IF(1,75),IF(1,0))</f>
        <v>75</v>
      </c>
      <c r="U7" s="65"/>
      <c r="V7" s="65"/>
      <c r="W7" s="65"/>
      <c r="X7" s="65">
        <f t="shared" si="11"/>
        <v>75</v>
      </c>
      <c r="Y7" s="65">
        <f t="shared" si="12"/>
        <v>5925</v>
      </c>
      <c r="Z7" s="70" t="s">
        <v>73</v>
      </c>
      <c r="AA7" s="72" t="s">
        <v>74</v>
      </c>
    </row>
    <row r="8" spans="1:27" ht="21.75" customHeight="1">
      <c r="A8" s="63">
        <v>3</v>
      </c>
      <c r="B8" s="69" t="s">
        <v>432</v>
      </c>
      <c r="C8" s="65" t="s">
        <v>38</v>
      </c>
      <c r="D8" s="65">
        <v>6000</v>
      </c>
      <c r="E8" s="65">
        <v>6000</v>
      </c>
      <c r="F8" s="66">
        <f t="shared" si="5"/>
        <v>3914</v>
      </c>
      <c r="G8" s="66"/>
      <c r="H8" s="66">
        <f>G8+F8</f>
        <v>3914</v>
      </c>
      <c r="I8" s="67">
        <v>30</v>
      </c>
      <c r="J8" s="66">
        <f t="shared" si="1"/>
        <v>3914</v>
      </c>
      <c r="K8" s="66">
        <f t="shared" si="6"/>
        <v>1460</v>
      </c>
      <c r="L8" s="66">
        <f t="shared" si="7"/>
        <v>626</v>
      </c>
      <c r="M8" s="66"/>
      <c r="N8" s="66"/>
      <c r="O8" s="66"/>
      <c r="P8" s="65">
        <f t="shared" si="8"/>
        <v>6000</v>
      </c>
      <c r="Q8" s="65"/>
      <c r="R8" s="65"/>
      <c r="S8" s="65">
        <f t="shared" si="9"/>
        <v>0</v>
      </c>
      <c r="T8" s="65">
        <f t="shared" ref="T8:T9" si="15">IF(P8,IF(1,75),IF(1,0))</f>
        <v>75</v>
      </c>
      <c r="U8" s="65"/>
      <c r="V8" s="65"/>
      <c r="W8" s="65"/>
      <c r="X8" s="65">
        <f t="shared" si="11"/>
        <v>75</v>
      </c>
      <c r="Y8" s="65">
        <f t="shared" si="12"/>
        <v>5925</v>
      </c>
      <c r="Z8" s="70" t="s">
        <v>75</v>
      </c>
      <c r="AA8" s="72" t="s">
        <v>76</v>
      </c>
    </row>
    <row r="9" spans="1:27" s="73" customFormat="1" ht="21.75" customHeight="1">
      <c r="A9" s="63">
        <v>4</v>
      </c>
      <c r="B9" s="69" t="s">
        <v>433</v>
      </c>
      <c r="C9" s="65" t="s">
        <v>38</v>
      </c>
      <c r="D9" s="65">
        <v>6000</v>
      </c>
      <c r="E9" s="65">
        <v>6000</v>
      </c>
      <c r="F9" s="66">
        <f t="shared" si="5"/>
        <v>3914</v>
      </c>
      <c r="G9" s="66"/>
      <c r="H9" s="66">
        <f>G9+F9</f>
        <v>3914</v>
      </c>
      <c r="I9" s="67">
        <v>30</v>
      </c>
      <c r="J9" s="66">
        <f t="shared" si="1"/>
        <v>3914</v>
      </c>
      <c r="K9" s="66">
        <f t="shared" si="6"/>
        <v>1460</v>
      </c>
      <c r="L9" s="66">
        <f t="shared" si="7"/>
        <v>626</v>
      </c>
      <c r="M9" s="66"/>
      <c r="N9" s="66"/>
      <c r="O9" s="66"/>
      <c r="P9" s="65">
        <f t="shared" si="8"/>
        <v>6000</v>
      </c>
      <c r="Q9" s="65"/>
      <c r="R9" s="65"/>
      <c r="S9" s="65">
        <f t="shared" si="9"/>
        <v>0</v>
      </c>
      <c r="T9" s="65">
        <f t="shared" si="15"/>
        <v>75</v>
      </c>
      <c r="U9" s="65"/>
      <c r="V9" s="65"/>
      <c r="W9" s="65"/>
      <c r="X9" s="65">
        <f t="shared" si="11"/>
        <v>75</v>
      </c>
      <c r="Y9" s="65">
        <f t="shared" si="12"/>
        <v>5925</v>
      </c>
      <c r="Z9" s="70" t="s">
        <v>77</v>
      </c>
      <c r="AA9" s="62" t="s">
        <v>78</v>
      </c>
    </row>
    <row r="10" spans="1:27" s="73" customFormat="1" ht="21.75" customHeight="1">
      <c r="A10" s="63">
        <v>5</v>
      </c>
      <c r="B10" s="69" t="s">
        <v>434</v>
      </c>
      <c r="C10" s="65" t="s">
        <v>38</v>
      </c>
      <c r="D10" s="65">
        <v>6000</v>
      </c>
      <c r="E10" s="65">
        <v>6000</v>
      </c>
      <c r="F10" s="66">
        <f t="shared" si="5"/>
        <v>3914</v>
      </c>
      <c r="G10" s="66"/>
      <c r="H10" s="66">
        <f>G10+F10</f>
        <v>3914</v>
      </c>
      <c r="I10" s="67">
        <v>30</v>
      </c>
      <c r="J10" s="66">
        <f t="shared" si="1"/>
        <v>3914</v>
      </c>
      <c r="K10" s="66">
        <f t="shared" si="6"/>
        <v>1460</v>
      </c>
      <c r="L10" s="66">
        <f t="shared" si="7"/>
        <v>626</v>
      </c>
      <c r="M10" s="66"/>
      <c r="N10" s="66"/>
      <c r="O10" s="66"/>
      <c r="P10" s="65">
        <f t="shared" si="8"/>
        <v>6000</v>
      </c>
      <c r="Q10" s="65"/>
      <c r="R10" s="65"/>
      <c r="S10" s="65">
        <f t="shared" ref="S10:S11" si="16">IF(P10&gt;20001,200,IF(P10&gt;15001,150,IF(P10&lt;15000,0,)))</f>
        <v>0</v>
      </c>
      <c r="T10" s="65">
        <f t="shared" ref="T10:T11" si="17">IF(P10,IF(1,75),IF(1,0))</f>
        <v>75</v>
      </c>
      <c r="U10" s="65"/>
      <c r="V10" s="65"/>
      <c r="W10" s="65"/>
      <c r="X10" s="65">
        <f t="shared" ref="X10:X11" si="18">SUM(Q10:W10)</f>
        <v>75</v>
      </c>
      <c r="Y10" s="65">
        <f t="shared" ref="Y10:Y11" si="19">P10-X10</f>
        <v>5925</v>
      </c>
      <c r="Z10" s="70">
        <v>41762699595</v>
      </c>
      <c r="AA10" s="62" t="s">
        <v>380</v>
      </c>
    </row>
    <row r="11" spans="1:27" s="73" customFormat="1" ht="21.75" customHeight="1">
      <c r="A11" s="63">
        <v>6</v>
      </c>
      <c r="B11" s="69" t="s">
        <v>419</v>
      </c>
      <c r="C11" s="65" t="s">
        <v>38</v>
      </c>
      <c r="D11" s="66">
        <v>15000</v>
      </c>
      <c r="E11" s="66">
        <v>15000</v>
      </c>
      <c r="F11" s="66">
        <f t="shared" ref="F11" si="20">ROUND(D11/1.5331,0)</f>
        <v>9784</v>
      </c>
      <c r="G11" s="66"/>
      <c r="H11" s="66"/>
      <c r="I11" s="67">
        <v>30</v>
      </c>
      <c r="J11" s="66">
        <f t="shared" ref="J11" si="21">F11/I$4*I11</f>
        <v>9784</v>
      </c>
      <c r="K11" s="66">
        <f t="shared" ref="K11" si="22">ROUND(J11*37.31%,0)</f>
        <v>3650</v>
      </c>
      <c r="L11" s="66">
        <f t="shared" ref="L11" si="23">ROUND(J11*16%,0)</f>
        <v>1565</v>
      </c>
      <c r="M11" s="66"/>
      <c r="N11" s="66"/>
      <c r="O11" s="66"/>
      <c r="P11" s="65">
        <f t="shared" ref="P11" si="24">ROUNDUP(J11+K11+L11+M11+N11+O11,0)</f>
        <v>14999</v>
      </c>
      <c r="Q11" s="66"/>
      <c r="R11" s="66">
        <v>0</v>
      </c>
      <c r="S11" s="65">
        <f t="shared" si="16"/>
        <v>0</v>
      </c>
      <c r="T11" s="65">
        <f t="shared" si="17"/>
        <v>75</v>
      </c>
      <c r="U11" s="65"/>
      <c r="V11" s="65"/>
      <c r="W11" s="65"/>
      <c r="X11" s="65">
        <f t="shared" si="18"/>
        <v>75</v>
      </c>
      <c r="Y11" s="65">
        <f t="shared" si="19"/>
        <v>14924</v>
      </c>
      <c r="Z11" s="70" t="s">
        <v>420</v>
      </c>
      <c r="AA11" s="62" t="s">
        <v>421</v>
      </c>
    </row>
    <row r="12" spans="1:27" ht="12.75">
      <c r="A12" s="63"/>
      <c r="B12" s="64" t="s">
        <v>79</v>
      </c>
      <c r="C12" s="65"/>
      <c r="D12" s="66"/>
      <c r="E12" s="66"/>
      <c r="F12" s="66">
        <f t="shared" si="5"/>
        <v>0</v>
      </c>
      <c r="G12" s="66"/>
      <c r="H12" s="66"/>
      <c r="I12" s="67"/>
      <c r="J12" s="66">
        <f t="shared" si="1"/>
        <v>0</v>
      </c>
      <c r="K12" s="66">
        <f t="shared" si="6"/>
        <v>0</v>
      </c>
      <c r="L12" s="66">
        <f t="shared" si="7"/>
        <v>0</v>
      </c>
      <c r="M12" s="66"/>
      <c r="N12" s="66"/>
      <c r="O12" s="66"/>
      <c r="P12" s="65">
        <f t="shared" si="8"/>
        <v>0</v>
      </c>
      <c r="Q12" s="65"/>
      <c r="R12" s="65"/>
      <c r="S12" s="65"/>
      <c r="T12" s="65"/>
      <c r="U12" s="65"/>
      <c r="V12" s="65"/>
      <c r="W12" s="65"/>
      <c r="X12" s="65"/>
      <c r="Y12" s="65"/>
      <c r="Z12" s="68"/>
      <c r="AA12" s="62"/>
    </row>
    <row r="13" spans="1:27" ht="22.5" customHeight="1">
      <c r="A13" s="63">
        <v>7</v>
      </c>
      <c r="B13" s="69" t="s">
        <v>435</v>
      </c>
      <c r="C13" s="65" t="s">
        <v>80</v>
      </c>
      <c r="D13" s="65">
        <v>6000</v>
      </c>
      <c r="E13" s="65">
        <v>6000</v>
      </c>
      <c r="F13" s="66">
        <f t="shared" si="5"/>
        <v>3914</v>
      </c>
      <c r="G13" s="66"/>
      <c r="H13" s="66">
        <f>G13+F13</f>
        <v>3914</v>
      </c>
      <c r="I13" s="67">
        <v>30</v>
      </c>
      <c r="J13" s="66">
        <f t="shared" si="1"/>
        <v>3914</v>
      </c>
      <c r="K13" s="66">
        <f t="shared" si="6"/>
        <v>1460</v>
      </c>
      <c r="L13" s="66">
        <f t="shared" si="7"/>
        <v>626</v>
      </c>
      <c r="M13" s="66"/>
      <c r="N13" s="66"/>
      <c r="O13" s="66"/>
      <c r="P13" s="65">
        <f t="shared" si="8"/>
        <v>6000</v>
      </c>
      <c r="Q13" s="65"/>
      <c r="R13" s="65"/>
      <c r="S13" s="65">
        <f t="shared" ref="S13:S14" si="25">IF(P13&gt;20001,200,IF(P13&gt;15001,150,IF(P13&lt;15000,0,)))</f>
        <v>0</v>
      </c>
      <c r="T13" s="65">
        <f t="shared" ref="T13:T14" si="26">IF(P13,IF(1,75),IF(1,0))</f>
        <v>75</v>
      </c>
      <c r="U13" s="65"/>
      <c r="V13" s="65"/>
      <c r="W13" s="65"/>
      <c r="X13" s="65">
        <f t="shared" ref="X13:X14" si="27">SUM(Q13:W13)</f>
        <v>75</v>
      </c>
      <c r="Y13" s="65">
        <f t="shared" ref="Y13:Y14" si="28">P13-X13</f>
        <v>5925</v>
      </c>
      <c r="Z13" s="70" t="s">
        <v>81</v>
      </c>
      <c r="AA13" s="74" t="s">
        <v>82</v>
      </c>
    </row>
    <row r="14" spans="1:27" ht="22.5" customHeight="1">
      <c r="A14" s="63">
        <v>8</v>
      </c>
      <c r="B14" s="69" t="s">
        <v>436</v>
      </c>
      <c r="C14" s="65" t="s">
        <v>80</v>
      </c>
      <c r="D14" s="65">
        <v>6000</v>
      </c>
      <c r="E14" s="65">
        <v>6000</v>
      </c>
      <c r="F14" s="66">
        <f t="shared" si="5"/>
        <v>3914</v>
      </c>
      <c r="G14" s="66"/>
      <c r="H14" s="66">
        <f>G14+F14</f>
        <v>3914</v>
      </c>
      <c r="I14" s="67">
        <v>30</v>
      </c>
      <c r="J14" s="66">
        <f t="shared" si="1"/>
        <v>3914</v>
      </c>
      <c r="K14" s="66">
        <f t="shared" si="6"/>
        <v>1460</v>
      </c>
      <c r="L14" s="66">
        <f t="shared" si="7"/>
        <v>626</v>
      </c>
      <c r="M14" s="66"/>
      <c r="N14" s="66"/>
      <c r="O14" s="66"/>
      <c r="P14" s="65">
        <f t="shared" si="8"/>
        <v>6000</v>
      </c>
      <c r="Q14" s="65"/>
      <c r="R14" s="65"/>
      <c r="S14" s="65">
        <f t="shared" si="25"/>
        <v>0</v>
      </c>
      <c r="T14" s="65">
        <f t="shared" si="26"/>
        <v>75</v>
      </c>
      <c r="U14" s="65"/>
      <c r="V14" s="65"/>
      <c r="W14" s="65"/>
      <c r="X14" s="65">
        <f t="shared" si="27"/>
        <v>75</v>
      </c>
      <c r="Y14" s="65">
        <f t="shared" si="28"/>
        <v>5925</v>
      </c>
      <c r="Z14" s="68">
        <v>844830271</v>
      </c>
      <c r="AA14" s="74" t="s">
        <v>70</v>
      </c>
    </row>
    <row r="15" spans="1:27" ht="22.5" customHeight="1">
      <c r="A15" s="63">
        <v>9</v>
      </c>
      <c r="B15" s="69" t="s">
        <v>437</v>
      </c>
      <c r="C15" s="65" t="s">
        <v>80</v>
      </c>
      <c r="D15" s="65">
        <v>6000</v>
      </c>
      <c r="E15" s="65">
        <v>6000</v>
      </c>
      <c r="F15" s="66">
        <f t="shared" si="5"/>
        <v>3914</v>
      </c>
      <c r="G15" s="66"/>
      <c r="H15" s="66">
        <f>G15+F15</f>
        <v>3914</v>
      </c>
      <c r="I15" s="67">
        <v>30</v>
      </c>
      <c r="J15" s="66">
        <f t="shared" si="1"/>
        <v>3914</v>
      </c>
      <c r="K15" s="66">
        <f t="shared" si="6"/>
        <v>1460</v>
      </c>
      <c r="L15" s="66">
        <f t="shared" si="7"/>
        <v>626</v>
      </c>
      <c r="M15" s="66"/>
      <c r="N15" s="66"/>
      <c r="O15" s="66"/>
      <c r="P15" s="65">
        <f t="shared" si="8"/>
        <v>6000</v>
      </c>
      <c r="Q15" s="65"/>
      <c r="R15" s="65"/>
      <c r="S15" s="65">
        <f t="shared" ref="S15" si="29">IF(P15&gt;20001,200,IF(P15&gt;15001,150,IF(P15&lt;15000,0,)))</f>
        <v>0</v>
      </c>
      <c r="T15" s="65">
        <f t="shared" ref="T15" si="30">IF(P15,IF(1,75),IF(1,0))</f>
        <v>75</v>
      </c>
      <c r="U15" s="65"/>
      <c r="V15" s="65"/>
      <c r="W15" s="65"/>
      <c r="X15" s="65">
        <f t="shared" ref="X15" si="31">SUM(Q15:W15)</f>
        <v>75</v>
      </c>
      <c r="Y15" s="65">
        <f t="shared" ref="Y15" si="32">P15-X15</f>
        <v>5925</v>
      </c>
      <c r="Z15" s="68">
        <v>30510930590</v>
      </c>
      <c r="AA15" s="74" t="s">
        <v>381</v>
      </c>
    </row>
    <row r="16" spans="1:27" ht="12.75">
      <c r="A16" s="63"/>
      <c r="B16" s="64" t="s">
        <v>83</v>
      </c>
      <c r="C16" s="65"/>
      <c r="D16" s="66"/>
      <c r="E16" s="66"/>
      <c r="F16" s="66">
        <f t="shared" si="5"/>
        <v>0</v>
      </c>
      <c r="G16" s="66"/>
      <c r="H16" s="66"/>
      <c r="I16" s="67"/>
      <c r="J16" s="66">
        <f t="shared" si="1"/>
        <v>0</v>
      </c>
      <c r="K16" s="66">
        <f t="shared" si="6"/>
        <v>0</v>
      </c>
      <c r="L16" s="66">
        <f t="shared" si="7"/>
        <v>0</v>
      </c>
      <c r="M16" s="66"/>
      <c r="N16" s="66"/>
      <c r="O16" s="66"/>
      <c r="P16" s="65">
        <f t="shared" si="8"/>
        <v>0</v>
      </c>
      <c r="Q16" s="65"/>
      <c r="R16" s="65"/>
      <c r="S16" s="65"/>
      <c r="T16" s="65"/>
      <c r="U16" s="65"/>
      <c r="V16" s="65"/>
      <c r="W16" s="65"/>
      <c r="X16" s="65"/>
      <c r="Y16" s="65"/>
      <c r="Z16" s="68"/>
      <c r="AA16" s="62"/>
    </row>
    <row r="17" spans="1:27" ht="22.5" customHeight="1">
      <c r="A17" s="63">
        <v>10</v>
      </c>
      <c r="B17" s="69" t="s">
        <v>438</v>
      </c>
      <c r="C17" s="65" t="s">
        <v>38</v>
      </c>
      <c r="D17" s="66">
        <v>15000</v>
      </c>
      <c r="E17" s="66">
        <v>15000</v>
      </c>
      <c r="F17" s="66">
        <f t="shared" si="5"/>
        <v>9784</v>
      </c>
      <c r="G17" s="66"/>
      <c r="H17" s="66"/>
      <c r="I17" s="67">
        <v>30</v>
      </c>
      <c r="J17" s="66">
        <f t="shared" si="1"/>
        <v>9784</v>
      </c>
      <c r="K17" s="66">
        <f t="shared" si="6"/>
        <v>3650</v>
      </c>
      <c r="L17" s="66">
        <f t="shared" si="7"/>
        <v>1565</v>
      </c>
      <c r="M17" s="66"/>
      <c r="N17" s="66"/>
      <c r="O17" s="66"/>
      <c r="P17" s="65">
        <f t="shared" si="8"/>
        <v>14999</v>
      </c>
      <c r="Q17" s="66"/>
      <c r="R17" s="66">
        <v>0</v>
      </c>
      <c r="S17" s="65">
        <f t="shared" ref="S17:S19" si="33">IF(P17&gt;20001,200,IF(P17&gt;15001,150,IF(P17&lt;15000,0,)))</f>
        <v>0</v>
      </c>
      <c r="T17" s="65">
        <f t="shared" ref="T17:T19" si="34">IF(P17,IF(1,75),IF(1,0))</f>
        <v>75</v>
      </c>
      <c r="U17" s="65"/>
      <c r="V17" s="65"/>
      <c r="W17" s="65"/>
      <c r="X17" s="65">
        <f t="shared" ref="X17:X19" si="35">SUM(Q17:W17)</f>
        <v>75</v>
      </c>
      <c r="Y17" s="65">
        <f t="shared" ref="Y17:Y19" si="36">P17-X17</f>
        <v>14924</v>
      </c>
      <c r="Z17" s="75" t="s">
        <v>84</v>
      </c>
      <c r="AA17" s="76" t="s">
        <v>85</v>
      </c>
    </row>
    <row r="18" spans="1:27" ht="22.5" customHeight="1">
      <c r="A18" s="63">
        <v>11</v>
      </c>
      <c r="B18" s="69" t="s">
        <v>439</v>
      </c>
      <c r="C18" s="65" t="s">
        <v>38</v>
      </c>
      <c r="D18" s="65">
        <v>6000</v>
      </c>
      <c r="E18" s="65">
        <v>6000</v>
      </c>
      <c r="F18" s="66">
        <f t="shared" si="5"/>
        <v>3914</v>
      </c>
      <c r="G18" s="66"/>
      <c r="H18" s="66">
        <f t="shared" ref="H18:H24" si="37">G18+F18</f>
        <v>3914</v>
      </c>
      <c r="I18" s="67">
        <v>30</v>
      </c>
      <c r="J18" s="66">
        <f t="shared" si="1"/>
        <v>3914</v>
      </c>
      <c r="K18" s="66">
        <f t="shared" si="6"/>
        <v>1460</v>
      </c>
      <c r="L18" s="66">
        <f t="shared" si="7"/>
        <v>626</v>
      </c>
      <c r="M18" s="66"/>
      <c r="N18" s="66"/>
      <c r="O18" s="66"/>
      <c r="P18" s="65">
        <f t="shared" si="8"/>
        <v>6000</v>
      </c>
      <c r="Q18" s="65"/>
      <c r="R18" s="65"/>
      <c r="S18" s="65">
        <f t="shared" si="33"/>
        <v>0</v>
      </c>
      <c r="T18" s="65">
        <f t="shared" si="34"/>
        <v>75</v>
      </c>
      <c r="U18" s="65"/>
      <c r="V18" s="65"/>
      <c r="W18" s="65"/>
      <c r="X18" s="65">
        <f t="shared" si="35"/>
        <v>75</v>
      </c>
      <c r="Y18" s="65">
        <f t="shared" si="36"/>
        <v>5925</v>
      </c>
      <c r="Z18" s="77">
        <v>8647676350</v>
      </c>
      <c r="AA18" s="76" t="s">
        <v>86</v>
      </c>
    </row>
    <row r="19" spans="1:27" ht="22.5" customHeight="1">
      <c r="A19" s="63">
        <v>12</v>
      </c>
      <c r="B19" s="69" t="s">
        <v>440</v>
      </c>
      <c r="C19" s="65" t="s">
        <v>38</v>
      </c>
      <c r="D19" s="65">
        <v>6000</v>
      </c>
      <c r="E19" s="65">
        <v>6000</v>
      </c>
      <c r="F19" s="66">
        <f t="shared" si="5"/>
        <v>3914</v>
      </c>
      <c r="G19" s="66"/>
      <c r="H19" s="66">
        <f t="shared" si="37"/>
        <v>3914</v>
      </c>
      <c r="I19" s="67">
        <v>30</v>
      </c>
      <c r="J19" s="66">
        <f t="shared" si="1"/>
        <v>3914</v>
      </c>
      <c r="K19" s="66">
        <f t="shared" si="6"/>
        <v>1460</v>
      </c>
      <c r="L19" s="66">
        <f t="shared" si="7"/>
        <v>626</v>
      </c>
      <c r="M19" s="66"/>
      <c r="N19" s="66"/>
      <c r="O19" s="66"/>
      <c r="P19" s="65">
        <f t="shared" si="8"/>
        <v>6000</v>
      </c>
      <c r="Q19" s="65"/>
      <c r="R19" s="65"/>
      <c r="S19" s="65">
        <f t="shared" si="33"/>
        <v>0</v>
      </c>
      <c r="T19" s="65">
        <f t="shared" si="34"/>
        <v>75</v>
      </c>
      <c r="U19" s="65"/>
      <c r="V19" s="65"/>
      <c r="W19" s="65"/>
      <c r="X19" s="65">
        <f t="shared" si="35"/>
        <v>75</v>
      </c>
      <c r="Y19" s="65">
        <f t="shared" si="36"/>
        <v>5925</v>
      </c>
      <c r="Z19" s="77">
        <v>10843440187</v>
      </c>
      <c r="AA19" s="76" t="s">
        <v>87</v>
      </c>
    </row>
    <row r="20" spans="1:27" ht="22.5" customHeight="1">
      <c r="A20" s="63">
        <v>13</v>
      </c>
      <c r="B20" s="69" t="s">
        <v>441</v>
      </c>
      <c r="C20" s="65" t="s">
        <v>38</v>
      </c>
      <c r="D20" s="65">
        <v>6000</v>
      </c>
      <c r="E20" s="65">
        <v>6000</v>
      </c>
      <c r="F20" s="66">
        <f t="shared" si="5"/>
        <v>3914</v>
      </c>
      <c r="G20" s="66"/>
      <c r="H20" s="66">
        <f t="shared" si="37"/>
        <v>3914</v>
      </c>
      <c r="I20" s="67">
        <v>30</v>
      </c>
      <c r="J20" s="66">
        <f t="shared" si="1"/>
        <v>3914</v>
      </c>
      <c r="K20" s="66">
        <f t="shared" si="6"/>
        <v>1460</v>
      </c>
      <c r="L20" s="66">
        <f t="shared" si="7"/>
        <v>626</v>
      </c>
      <c r="M20" s="66"/>
      <c r="N20" s="66"/>
      <c r="O20" s="66"/>
      <c r="P20" s="65">
        <f t="shared" si="8"/>
        <v>6000</v>
      </c>
      <c r="Q20" s="65"/>
      <c r="R20" s="65"/>
      <c r="S20" s="65">
        <f t="shared" ref="S20:S22" si="38">IF(P20&gt;20001,200,IF(P20&gt;15001,150,IF(P20&lt;15000,0,)))</f>
        <v>0</v>
      </c>
      <c r="T20" s="65">
        <f t="shared" ref="T20:T22" si="39">IF(P20,IF(1,75),IF(1,0))</f>
        <v>75</v>
      </c>
      <c r="U20" s="65"/>
      <c r="V20" s="65"/>
      <c r="W20" s="65"/>
      <c r="X20" s="65">
        <f t="shared" ref="X20:X22" si="40">SUM(Q20:W20)</f>
        <v>75</v>
      </c>
      <c r="Y20" s="65">
        <f t="shared" ref="Y20:Y22" si="41">P20-X20</f>
        <v>5925</v>
      </c>
      <c r="Z20" s="75" t="s">
        <v>386</v>
      </c>
      <c r="AA20" s="76" t="s">
        <v>387</v>
      </c>
    </row>
    <row r="21" spans="1:27" ht="22.5" customHeight="1">
      <c r="A21" s="63">
        <v>14</v>
      </c>
      <c r="B21" s="69" t="s">
        <v>442</v>
      </c>
      <c r="C21" s="65" t="s">
        <v>38</v>
      </c>
      <c r="D21" s="65">
        <v>6000</v>
      </c>
      <c r="E21" s="65">
        <v>6000</v>
      </c>
      <c r="F21" s="66">
        <f t="shared" si="5"/>
        <v>3914</v>
      </c>
      <c r="G21" s="66"/>
      <c r="H21" s="66">
        <f t="shared" si="37"/>
        <v>3914</v>
      </c>
      <c r="I21" s="67">
        <v>30</v>
      </c>
      <c r="J21" s="66">
        <f t="shared" ref="J21:J22" si="42">F21/I$4*I21</f>
        <v>3914</v>
      </c>
      <c r="K21" s="66">
        <f t="shared" si="6"/>
        <v>1460</v>
      </c>
      <c r="L21" s="66">
        <f t="shared" si="7"/>
        <v>626</v>
      </c>
      <c r="M21" s="66"/>
      <c r="N21" s="66"/>
      <c r="O21" s="66"/>
      <c r="P21" s="65">
        <f t="shared" si="8"/>
        <v>6000</v>
      </c>
      <c r="Q21" s="65"/>
      <c r="R21" s="65"/>
      <c r="S21" s="65">
        <f t="shared" si="38"/>
        <v>0</v>
      </c>
      <c r="T21" s="65">
        <f t="shared" si="39"/>
        <v>75</v>
      </c>
      <c r="U21" s="65"/>
      <c r="V21" s="65"/>
      <c r="W21" s="65"/>
      <c r="X21" s="65">
        <f t="shared" si="40"/>
        <v>75</v>
      </c>
      <c r="Y21" s="65">
        <f t="shared" si="41"/>
        <v>5925</v>
      </c>
      <c r="Z21" s="75" t="s">
        <v>388</v>
      </c>
      <c r="AA21" s="76" t="s">
        <v>389</v>
      </c>
    </row>
    <row r="22" spans="1:27" ht="22.5" customHeight="1">
      <c r="A22" s="63">
        <v>15</v>
      </c>
      <c r="B22" s="69" t="s">
        <v>443</v>
      </c>
      <c r="C22" s="65" t="s">
        <v>38</v>
      </c>
      <c r="D22" s="65">
        <v>6000</v>
      </c>
      <c r="E22" s="65"/>
      <c r="F22" s="66">
        <f t="shared" si="5"/>
        <v>3914</v>
      </c>
      <c r="G22" s="66"/>
      <c r="H22" s="66">
        <f t="shared" si="37"/>
        <v>3914</v>
      </c>
      <c r="I22" s="67">
        <v>30</v>
      </c>
      <c r="J22" s="66">
        <f t="shared" si="42"/>
        <v>3914</v>
      </c>
      <c r="K22" s="66">
        <f t="shared" si="6"/>
        <v>1460</v>
      </c>
      <c r="L22" s="66">
        <f t="shared" si="7"/>
        <v>626</v>
      </c>
      <c r="M22" s="66"/>
      <c r="N22" s="66"/>
      <c r="O22" s="66"/>
      <c r="P22" s="65">
        <f t="shared" si="8"/>
        <v>6000</v>
      </c>
      <c r="Q22" s="65"/>
      <c r="R22" s="65"/>
      <c r="S22" s="65">
        <f t="shared" si="38"/>
        <v>0</v>
      </c>
      <c r="T22" s="65">
        <f t="shared" si="39"/>
        <v>75</v>
      </c>
      <c r="U22" s="65"/>
      <c r="V22" s="65"/>
      <c r="W22" s="65"/>
      <c r="X22" s="65">
        <f t="shared" si="40"/>
        <v>75</v>
      </c>
      <c r="Y22" s="65">
        <f t="shared" si="41"/>
        <v>5925</v>
      </c>
      <c r="Z22" s="75" t="s">
        <v>415</v>
      </c>
      <c r="AA22" s="76" t="s">
        <v>407</v>
      </c>
    </row>
    <row r="23" spans="1:27" ht="22.5" customHeight="1">
      <c r="A23" s="63">
        <v>16</v>
      </c>
      <c r="B23" s="69" t="s">
        <v>401</v>
      </c>
      <c r="C23" s="65" t="s">
        <v>38</v>
      </c>
      <c r="D23" s="65">
        <v>3000</v>
      </c>
      <c r="E23" s="65"/>
      <c r="F23" s="66">
        <f t="shared" ref="F23:F24" si="43">ROUND(D23/1.5331,0)</f>
        <v>1957</v>
      </c>
      <c r="G23" s="66"/>
      <c r="H23" s="66">
        <f t="shared" si="37"/>
        <v>1957</v>
      </c>
      <c r="I23" s="67">
        <v>30</v>
      </c>
      <c r="J23" s="66">
        <f t="shared" ref="J23:J24" si="44">F23/I$4*I23</f>
        <v>1957</v>
      </c>
      <c r="K23" s="66">
        <f t="shared" ref="K23:K24" si="45">ROUND(J23*37.31%,0)</f>
        <v>730</v>
      </c>
      <c r="L23" s="66">
        <f t="shared" ref="L23:L24" si="46">ROUND(J23*16%,0)</f>
        <v>313</v>
      </c>
      <c r="M23" s="66"/>
      <c r="N23" s="66"/>
      <c r="O23" s="66"/>
      <c r="P23" s="65">
        <f t="shared" ref="P23:P24" si="47">ROUNDUP(J23+K23+L23+M23+N23+O23,0)</f>
        <v>3000</v>
      </c>
      <c r="Q23" s="65"/>
      <c r="R23" s="65"/>
      <c r="S23" s="65">
        <f t="shared" ref="S23:S24" si="48">IF(P23&gt;20001,200,IF(P23&gt;15001,150,IF(P23&lt;15000,0,)))</f>
        <v>0</v>
      </c>
      <c r="T23" s="65">
        <f t="shared" ref="T23:T24" si="49">IF(P23,IF(1,75),IF(1,0))</f>
        <v>75</v>
      </c>
      <c r="U23" s="65"/>
      <c r="V23" s="65"/>
      <c r="W23" s="65"/>
      <c r="X23" s="65">
        <f t="shared" ref="X23:X24" si="50">SUM(Q23:W23)</f>
        <v>75</v>
      </c>
      <c r="Y23" s="65">
        <f t="shared" ref="Y23:Y24" si="51">P23-X23</f>
        <v>2925</v>
      </c>
      <c r="Z23" s="75" t="s">
        <v>414</v>
      </c>
      <c r="AA23" s="76" t="s">
        <v>70</v>
      </c>
    </row>
    <row r="24" spans="1:27" ht="22.5" customHeight="1">
      <c r="A24" s="63">
        <v>17</v>
      </c>
      <c r="B24" s="69" t="s">
        <v>402</v>
      </c>
      <c r="C24" s="65" t="s">
        <v>38</v>
      </c>
      <c r="D24" s="65">
        <v>3000</v>
      </c>
      <c r="E24" s="65"/>
      <c r="F24" s="66">
        <f t="shared" si="43"/>
        <v>1957</v>
      </c>
      <c r="G24" s="66"/>
      <c r="H24" s="66">
        <f t="shared" si="37"/>
        <v>1957</v>
      </c>
      <c r="I24" s="67">
        <v>30</v>
      </c>
      <c r="J24" s="66">
        <f t="shared" si="44"/>
        <v>1957</v>
      </c>
      <c r="K24" s="66">
        <f t="shared" si="45"/>
        <v>730</v>
      </c>
      <c r="L24" s="66">
        <f t="shared" si="46"/>
        <v>313</v>
      </c>
      <c r="M24" s="66"/>
      <c r="N24" s="66"/>
      <c r="O24" s="66"/>
      <c r="P24" s="65">
        <f t="shared" si="47"/>
        <v>3000</v>
      </c>
      <c r="Q24" s="65"/>
      <c r="R24" s="65"/>
      <c r="S24" s="65">
        <f t="shared" si="48"/>
        <v>0</v>
      </c>
      <c r="T24" s="65">
        <f t="shared" si="49"/>
        <v>75</v>
      </c>
      <c r="U24" s="65"/>
      <c r="V24" s="65"/>
      <c r="W24" s="65"/>
      <c r="X24" s="65">
        <f t="shared" si="50"/>
        <v>75</v>
      </c>
      <c r="Y24" s="65">
        <f t="shared" si="51"/>
        <v>2925</v>
      </c>
      <c r="Z24" s="75" t="s">
        <v>413</v>
      </c>
      <c r="AA24" s="76" t="s">
        <v>407</v>
      </c>
    </row>
    <row r="25" spans="1:27" ht="22.5" customHeight="1">
      <c r="A25" s="63">
        <v>18</v>
      </c>
      <c r="B25" s="69" t="s">
        <v>403</v>
      </c>
      <c r="C25" s="65" t="s">
        <v>38</v>
      </c>
      <c r="D25" s="65">
        <v>6000</v>
      </c>
      <c r="E25" s="65"/>
      <c r="F25" s="66">
        <f t="shared" ref="F25:F27" si="52">ROUND(D25/1.5331,0)</f>
        <v>3914</v>
      </c>
      <c r="G25" s="66"/>
      <c r="H25" s="66">
        <f t="shared" ref="H25:H27" si="53">G25+F25</f>
        <v>3914</v>
      </c>
      <c r="I25" s="67">
        <v>30</v>
      </c>
      <c r="J25" s="66">
        <f t="shared" ref="J25:J27" si="54">F25/I$4*I25</f>
        <v>3914</v>
      </c>
      <c r="K25" s="66">
        <f t="shared" ref="K25:K27" si="55">ROUND(J25*37.31%,0)</f>
        <v>1460</v>
      </c>
      <c r="L25" s="66">
        <f t="shared" ref="L25:L27" si="56">ROUND(J25*16%,0)</f>
        <v>626</v>
      </c>
      <c r="M25" s="66"/>
      <c r="N25" s="66"/>
      <c r="O25" s="66"/>
      <c r="P25" s="65">
        <f t="shared" ref="P25:P27" si="57">ROUNDUP(J25+K25+L25+M25+N25+O25,0)</f>
        <v>6000</v>
      </c>
      <c r="Q25" s="65"/>
      <c r="R25" s="65"/>
      <c r="S25" s="65">
        <f t="shared" ref="S25:S27" si="58">IF(P25&gt;20001,200,IF(P25&gt;15001,150,IF(P25&lt;15000,0,)))</f>
        <v>0</v>
      </c>
      <c r="T25" s="65">
        <f t="shared" ref="T25:T27" si="59">IF(P25,IF(1,75),IF(1,0))</f>
        <v>75</v>
      </c>
      <c r="U25" s="65"/>
      <c r="V25" s="65"/>
      <c r="W25" s="65"/>
      <c r="X25" s="65">
        <f t="shared" ref="X25:X27" si="60">SUM(Q25:W25)</f>
        <v>75</v>
      </c>
      <c r="Y25" s="65">
        <f t="shared" ref="Y25:Y27" si="61">P25-X25</f>
        <v>5925</v>
      </c>
      <c r="Z25" s="75" t="s">
        <v>412</v>
      </c>
      <c r="AA25" s="76" t="s">
        <v>408</v>
      </c>
    </row>
    <row r="26" spans="1:27" ht="22.5" customHeight="1">
      <c r="A26" s="63">
        <v>19</v>
      </c>
      <c r="B26" s="69" t="s">
        <v>404</v>
      </c>
      <c r="C26" s="65" t="s">
        <v>38</v>
      </c>
      <c r="D26" s="65">
        <v>6000</v>
      </c>
      <c r="E26" s="65"/>
      <c r="F26" s="66">
        <f t="shared" si="52"/>
        <v>3914</v>
      </c>
      <c r="G26" s="66"/>
      <c r="H26" s="66">
        <f t="shared" si="53"/>
        <v>3914</v>
      </c>
      <c r="I26" s="67">
        <v>30</v>
      </c>
      <c r="J26" s="66">
        <f t="shared" si="54"/>
        <v>3914</v>
      </c>
      <c r="K26" s="66">
        <f t="shared" si="55"/>
        <v>1460</v>
      </c>
      <c r="L26" s="66">
        <f t="shared" si="56"/>
        <v>626</v>
      </c>
      <c r="M26" s="66"/>
      <c r="N26" s="66"/>
      <c r="O26" s="66"/>
      <c r="P26" s="65">
        <f t="shared" si="57"/>
        <v>6000</v>
      </c>
      <c r="Q26" s="65"/>
      <c r="R26" s="65"/>
      <c r="S26" s="65">
        <f t="shared" si="58"/>
        <v>0</v>
      </c>
      <c r="T26" s="65">
        <f t="shared" si="59"/>
        <v>75</v>
      </c>
      <c r="U26" s="65"/>
      <c r="V26" s="65"/>
      <c r="W26" s="65"/>
      <c r="X26" s="65">
        <f t="shared" si="60"/>
        <v>75</v>
      </c>
      <c r="Y26" s="65">
        <f t="shared" si="61"/>
        <v>5925</v>
      </c>
      <c r="Z26" s="75" t="s">
        <v>417</v>
      </c>
      <c r="AA26" s="76" t="s">
        <v>409</v>
      </c>
    </row>
    <row r="27" spans="1:27" ht="22.5" customHeight="1">
      <c r="A27" s="63">
        <v>20</v>
      </c>
      <c r="B27" s="69" t="s">
        <v>405</v>
      </c>
      <c r="C27" s="65" t="s">
        <v>38</v>
      </c>
      <c r="D27" s="65">
        <v>3000</v>
      </c>
      <c r="E27" s="65"/>
      <c r="F27" s="66">
        <f t="shared" si="52"/>
        <v>1957</v>
      </c>
      <c r="G27" s="66"/>
      <c r="H27" s="66">
        <f t="shared" si="53"/>
        <v>1957</v>
      </c>
      <c r="I27" s="67">
        <v>30</v>
      </c>
      <c r="J27" s="66">
        <f t="shared" si="54"/>
        <v>1957</v>
      </c>
      <c r="K27" s="66">
        <f t="shared" si="55"/>
        <v>730</v>
      </c>
      <c r="L27" s="66">
        <f t="shared" si="56"/>
        <v>313</v>
      </c>
      <c r="M27" s="66"/>
      <c r="N27" s="66"/>
      <c r="O27" s="66"/>
      <c r="P27" s="65">
        <f t="shared" si="57"/>
        <v>3000</v>
      </c>
      <c r="Q27" s="65"/>
      <c r="R27" s="65"/>
      <c r="S27" s="65">
        <f t="shared" si="58"/>
        <v>0</v>
      </c>
      <c r="T27" s="65">
        <f t="shared" si="59"/>
        <v>75</v>
      </c>
      <c r="U27" s="65"/>
      <c r="V27" s="65"/>
      <c r="W27" s="65"/>
      <c r="X27" s="65">
        <f t="shared" si="60"/>
        <v>75</v>
      </c>
      <c r="Y27" s="65">
        <f t="shared" si="61"/>
        <v>2925</v>
      </c>
      <c r="Z27" s="75" t="s">
        <v>411</v>
      </c>
      <c r="AA27" s="76" t="s">
        <v>410</v>
      </c>
    </row>
    <row r="28" spans="1:27" ht="22.5" customHeight="1">
      <c r="A28" s="63">
        <v>21</v>
      </c>
      <c r="B28" s="69" t="s">
        <v>406</v>
      </c>
      <c r="C28" s="65" t="s">
        <v>38</v>
      </c>
      <c r="D28" s="65">
        <v>6000</v>
      </c>
      <c r="E28" s="65">
        <v>6000</v>
      </c>
      <c r="F28" s="66">
        <f t="shared" ref="F28" si="62">ROUND(D28/1.5331,0)</f>
        <v>3914</v>
      </c>
      <c r="G28" s="66"/>
      <c r="H28" s="66">
        <f>G28+F28</f>
        <v>3914</v>
      </c>
      <c r="I28" s="67">
        <v>30</v>
      </c>
      <c r="J28" s="66">
        <f t="shared" si="1"/>
        <v>3914</v>
      </c>
      <c r="K28" s="66">
        <f t="shared" ref="K28" si="63">ROUND(J28*37.31%,0)</f>
        <v>1460</v>
      </c>
      <c r="L28" s="66">
        <f t="shared" ref="L28" si="64">ROUND(J28*16%,0)</f>
        <v>626</v>
      </c>
      <c r="M28" s="66"/>
      <c r="N28" s="66"/>
      <c r="O28" s="66"/>
      <c r="P28" s="65">
        <f t="shared" ref="P28" si="65">ROUNDUP(J28+K28+L28+M28+N28+O28,0)</f>
        <v>6000</v>
      </c>
      <c r="Q28" s="65"/>
      <c r="R28" s="65"/>
      <c r="S28" s="65">
        <f t="shared" ref="S28" si="66">IF(P28&gt;20001,200,IF(P28&gt;15001,150,IF(P28&lt;15000,0,)))</f>
        <v>0</v>
      </c>
      <c r="T28" s="65">
        <f t="shared" ref="T28" si="67">IF(P28,IF(1,75),IF(1,0))</f>
        <v>75</v>
      </c>
      <c r="U28" s="65"/>
      <c r="V28" s="65"/>
      <c r="W28" s="65"/>
      <c r="X28" s="65">
        <f t="shared" ref="X28" si="68">SUM(Q28:W28)</f>
        <v>75</v>
      </c>
      <c r="Y28" s="65">
        <f t="shared" ref="Y28" si="69">P28-X28</f>
        <v>5925</v>
      </c>
      <c r="Z28" s="75">
        <v>722742679</v>
      </c>
      <c r="AA28" s="76" t="s">
        <v>416</v>
      </c>
    </row>
    <row r="29" spans="1:27" ht="12.75">
      <c r="A29" s="63"/>
      <c r="B29" s="64" t="s">
        <v>88</v>
      </c>
      <c r="C29" s="65"/>
      <c r="D29" s="66"/>
      <c r="E29" s="66"/>
      <c r="F29" s="66">
        <f t="shared" si="5"/>
        <v>0</v>
      </c>
      <c r="G29" s="66"/>
      <c r="H29" s="66"/>
      <c r="I29" s="67"/>
      <c r="J29" s="66">
        <f t="shared" si="1"/>
        <v>0</v>
      </c>
      <c r="K29" s="66">
        <f t="shared" si="6"/>
        <v>0</v>
      </c>
      <c r="L29" s="66">
        <f t="shared" si="7"/>
        <v>0</v>
      </c>
      <c r="M29" s="66"/>
      <c r="N29" s="66"/>
      <c r="O29" s="66"/>
      <c r="P29" s="65">
        <f t="shared" si="8"/>
        <v>0</v>
      </c>
      <c r="Q29" s="66"/>
      <c r="R29" s="66"/>
      <c r="S29" s="65"/>
      <c r="T29" s="65"/>
      <c r="U29" s="65"/>
      <c r="V29" s="65"/>
      <c r="W29" s="65"/>
      <c r="X29" s="65"/>
      <c r="Y29" s="65"/>
      <c r="Z29" s="68"/>
      <c r="AA29" s="62"/>
    </row>
    <row r="30" spans="1:27" ht="24" customHeight="1">
      <c r="A30" s="63">
        <v>22</v>
      </c>
      <c r="B30" s="69" t="s">
        <v>390</v>
      </c>
      <c r="C30" s="65" t="s">
        <v>80</v>
      </c>
      <c r="D30" s="65">
        <v>6000</v>
      </c>
      <c r="E30" s="65">
        <v>6000</v>
      </c>
      <c r="F30" s="66">
        <f t="shared" ref="F30:F31" si="70">ROUND(D30/1.5331,0)</f>
        <v>3914</v>
      </c>
      <c r="G30" s="66"/>
      <c r="H30" s="66">
        <f t="shared" ref="H30:H35" si="71">G30+F30</f>
        <v>3914</v>
      </c>
      <c r="I30" s="67">
        <v>30</v>
      </c>
      <c r="J30" s="66">
        <f t="shared" si="1"/>
        <v>3914</v>
      </c>
      <c r="K30" s="66">
        <f t="shared" ref="K30:K31" si="72">ROUND(J30*37.31%,0)</f>
        <v>1460</v>
      </c>
      <c r="L30" s="66">
        <f t="shared" ref="L30:L31" si="73">ROUND(J30*16%,0)</f>
        <v>626</v>
      </c>
      <c r="M30" s="66"/>
      <c r="N30" s="66"/>
      <c r="O30" s="66"/>
      <c r="P30" s="65">
        <f t="shared" ref="P30:P31" si="74">ROUNDUP(J30+K30+L30+M30+N30+O30,0)</f>
        <v>6000</v>
      </c>
      <c r="Q30" s="65"/>
      <c r="R30" s="65"/>
      <c r="S30" s="65">
        <f t="shared" ref="S30:S31" si="75">IF(P30&gt;20001,200,IF(P30&gt;15001,150,IF(P30&lt;15000,0,)))</f>
        <v>0</v>
      </c>
      <c r="T30" s="65">
        <f t="shared" ref="T30:T31" si="76">IF(P30,IF(1,75),IF(1,0))</f>
        <v>75</v>
      </c>
      <c r="U30" s="65"/>
      <c r="V30" s="65"/>
      <c r="W30" s="65"/>
      <c r="X30" s="65">
        <f t="shared" ref="X30:X31" si="77">SUM(Q30:W30)</f>
        <v>75</v>
      </c>
      <c r="Y30" s="65">
        <f t="shared" ref="Y30:Y31" si="78">P30-X30</f>
        <v>5925</v>
      </c>
      <c r="Z30" s="75" t="s">
        <v>384</v>
      </c>
      <c r="AA30" s="76" t="s">
        <v>385</v>
      </c>
    </row>
    <row r="31" spans="1:27" ht="24" customHeight="1">
      <c r="A31" s="63">
        <v>23</v>
      </c>
      <c r="B31" s="69" t="s">
        <v>391</v>
      </c>
      <c r="C31" s="65" t="s">
        <v>80</v>
      </c>
      <c r="D31" s="65">
        <v>6000</v>
      </c>
      <c r="E31" s="65">
        <v>6000</v>
      </c>
      <c r="F31" s="66">
        <f t="shared" si="70"/>
        <v>3914</v>
      </c>
      <c r="G31" s="66"/>
      <c r="H31" s="66">
        <f t="shared" si="71"/>
        <v>3914</v>
      </c>
      <c r="I31" s="67">
        <v>30</v>
      </c>
      <c r="J31" s="66">
        <f t="shared" si="1"/>
        <v>3914</v>
      </c>
      <c r="K31" s="66">
        <f t="shared" si="72"/>
        <v>1460</v>
      </c>
      <c r="L31" s="66">
        <f t="shared" si="73"/>
        <v>626</v>
      </c>
      <c r="M31" s="66"/>
      <c r="N31" s="66"/>
      <c r="O31" s="66"/>
      <c r="P31" s="65">
        <f t="shared" si="74"/>
        <v>6000</v>
      </c>
      <c r="Q31" s="65"/>
      <c r="R31" s="65"/>
      <c r="S31" s="65">
        <f t="shared" si="75"/>
        <v>0</v>
      </c>
      <c r="T31" s="65">
        <f t="shared" si="76"/>
        <v>75</v>
      </c>
      <c r="U31" s="65"/>
      <c r="V31" s="65"/>
      <c r="W31" s="65"/>
      <c r="X31" s="65">
        <f t="shared" si="77"/>
        <v>75</v>
      </c>
      <c r="Y31" s="65">
        <f t="shared" si="78"/>
        <v>5925</v>
      </c>
      <c r="Z31" s="75" t="s">
        <v>382</v>
      </c>
      <c r="AA31" s="76" t="s">
        <v>383</v>
      </c>
    </row>
    <row r="32" spans="1:27" ht="24" customHeight="1">
      <c r="A32" s="63">
        <v>24</v>
      </c>
      <c r="B32" s="69" t="s">
        <v>392</v>
      </c>
      <c r="C32" s="65" t="s">
        <v>80</v>
      </c>
      <c r="D32" s="65">
        <v>6000</v>
      </c>
      <c r="E32" s="65">
        <v>6000</v>
      </c>
      <c r="F32" s="66">
        <f t="shared" ref="F32:F33" si="79">ROUND(D32/1.5331,0)</f>
        <v>3914</v>
      </c>
      <c r="G32" s="66"/>
      <c r="H32" s="66">
        <f t="shared" si="71"/>
        <v>3914</v>
      </c>
      <c r="I32" s="67">
        <v>30</v>
      </c>
      <c r="J32" s="66">
        <f t="shared" si="1"/>
        <v>3914</v>
      </c>
      <c r="K32" s="66">
        <f t="shared" ref="K32:K33" si="80">ROUND(J32*37.31%,0)</f>
        <v>1460</v>
      </c>
      <c r="L32" s="66">
        <f t="shared" ref="L32:L33" si="81">ROUND(J32*16%,0)</f>
        <v>626</v>
      </c>
      <c r="M32" s="66"/>
      <c r="N32" s="66"/>
      <c r="O32" s="66"/>
      <c r="P32" s="65">
        <f t="shared" ref="P32:P33" si="82">ROUNDUP(J32+K32+L32+M32+N32+O32,0)</f>
        <v>6000</v>
      </c>
      <c r="Q32" s="65"/>
      <c r="R32" s="65"/>
      <c r="S32" s="65">
        <f t="shared" ref="S32:S33" si="83">IF(P32&gt;20001,200,IF(P32&gt;15001,150,IF(P32&lt;15000,0,)))</f>
        <v>0</v>
      </c>
      <c r="T32" s="65">
        <f t="shared" ref="T32:T33" si="84">IF(P32,IF(1,75),IF(1,0))</f>
        <v>75</v>
      </c>
      <c r="U32" s="65"/>
      <c r="V32" s="65"/>
      <c r="W32" s="65"/>
      <c r="X32" s="65">
        <f t="shared" ref="X32:X33" si="85">SUM(Q32:W32)</f>
        <v>75</v>
      </c>
      <c r="Y32" s="65">
        <f t="shared" ref="Y32:Y33" si="86">P32-X32</f>
        <v>5925</v>
      </c>
      <c r="Z32" s="75" t="s">
        <v>393</v>
      </c>
      <c r="AA32" s="76" t="s">
        <v>394</v>
      </c>
    </row>
    <row r="33" spans="1:28" ht="24" customHeight="1">
      <c r="A33" s="63">
        <v>25</v>
      </c>
      <c r="B33" s="69" t="s">
        <v>398</v>
      </c>
      <c r="C33" s="65" t="s">
        <v>38</v>
      </c>
      <c r="D33" s="66">
        <v>10000</v>
      </c>
      <c r="E33" s="66">
        <v>15000</v>
      </c>
      <c r="F33" s="66">
        <f t="shared" si="79"/>
        <v>6523</v>
      </c>
      <c r="G33" s="66"/>
      <c r="H33" s="66">
        <f t="shared" si="71"/>
        <v>6523</v>
      </c>
      <c r="I33" s="67">
        <v>30</v>
      </c>
      <c r="J33" s="66">
        <f t="shared" ref="J33:J35" si="87">F33/I$4*I33</f>
        <v>6523</v>
      </c>
      <c r="K33" s="66">
        <f t="shared" si="80"/>
        <v>2434</v>
      </c>
      <c r="L33" s="66">
        <f t="shared" si="81"/>
        <v>1044</v>
      </c>
      <c r="M33" s="66"/>
      <c r="N33" s="66"/>
      <c r="O33" s="66"/>
      <c r="P33" s="65">
        <f t="shared" si="82"/>
        <v>10001</v>
      </c>
      <c r="Q33" s="66"/>
      <c r="R33" s="66">
        <v>0</v>
      </c>
      <c r="S33" s="65">
        <f t="shared" si="83"/>
        <v>0</v>
      </c>
      <c r="T33" s="65">
        <f t="shared" si="84"/>
        <v>75</v>
      </c>
      <c r="U33" s="65"/>
      <c r="V33" s="65"/>
      <c r="W33" s="65"/>
      <c r="X33" s="65">
        <f t="shared" si="85"/>
        <v>75</v>
      </c>
      <c r="Y33" s="65">
        <f t="shared" si="86"/>
        <v>9926</v>
      </c>
      <c r="Z33" s="75" t="s">
        <v>400</v>
      </c>
      <c r="AA33" s="76" t="s">
        <v>399</v>
      </c>
    </row>
    <row r="34" spans="1:28" ht="24" customHeight="1">
      <c r="A34" s="63">
        <v>26</v>
      </c>
      <c r="B34" s="69" t="s">
        <v>422</v>
      </c>
      <c r="C34" s="65" t="s">
        <v>38</v>
      </c>
      <c r="D34" s="65">
        <v>6000</v>
      </c>
      <c r="E34" s="65">
        <v>6000</v>
      </c>
      <c r="F34" s="66">
        <f t="shared" ref="F34:F35" si="88">ROUND(D34/1.5331,0)</f>
        <v>3914</v>
      </c>
      <c r="G34" s="66"/>
      <c r="H34" s="66">
        <f t="shared" si="71"/>
        <v>3914</v>
      </c>
      <c r="I34" s="67">
        <v>30</v>
      </c>
      <c r="J34" s="66">
        <f t="shared" si="87"/>
        <v>3914</v>
      </c>
      <c r="K34" s="66">
        <f t="shared" ref="K34:K35" si="89">ROUND(J34*37.31%,0)</f>
        <v>1460</v>
      </c>
      <c r="L34" s="66">
        <f t="shared" ref="L34:L35" si="90">ROUND(J34*16%,0)</f>
        <v>626</v>
      </c>
      <c r="M34" s="66"/>
      <c r="N34" s="66"/>
      <c r="O34" s="66"/>
      <c r="P34" s="65">
        <f t="shared" ref="P34:P35" si="91">ROUNDUP(J34+K34+L34+M34+N34+O34,0)</f>
        <v>6000</v>
      </c>
      <c r="Q34" s="65"/>
      <c r="R34" s="65"/>
      <c r="S34" s="65">
        <f t="shared" ref="S34:S35" si="92">IF(P34&gt;20001,200,IF(P34&gt;15001,150,IF(P34&lt;15000,0,)))</f>
        <v>0</v>
      </c>
      <c r="T34" s="65">
        <f t="shared" ref="T34:T35" si="93">IF(P34,IF(1,75),IF(1,0))</f>
        <v>75</v>
      </c>
      <c r="U34" s="65"/>
      <c r="V34" s="65"/>
      <c r="W34" s="65"/>
      <c r="X34" s="65">
        <f t="shared" ref="X34:X35" si="94">SUM(Q34:W34)</f>
        <v>75</v>
      </c>
      <c r="Y34" s="65">
        <f t="shared" ref="Y34:Y35" si="95">P34-X34</f>
        <v>5925</v>
      </c>
      <c r="Z34" s="75" t="s">
        <v>426</v>
      </c>
      <c r="AA34" s="76" t="s">
        <v>424</v>
      </c>
      <c r="AB34" s="54" t="s">
        <v>418</v>
      </c>
    </row>
    <row r="35" spans="1:28" ht="24" customHeight="1">
      <c r="A35" s="63">
        <v>27</v>
      </c>
      <c r="B35" s="69" t="s">
        <v>423</v>
      </c>
      <c r="C35" s="65" t="s">
        <v>38</v>
      </c>
      <c r="D35" s="65">
        <v>6000</v>
      </c>
      <c r="E35" s="65">
        <v>6000</v>
      </c>
      <c r="F35" s="66">
        <f t="shared" si="88"/>
        <v>3914</v>
      </c>
      <c r="G35" s="66"/>
      <c r="H35" s="66">
        <f t="shared" si="71"/>
        <v>3914</v>
      </c>
      <c r="I35" s="67">
        <v>30</v>
      </c>
      <c r="J35" s="66">
        <f t="shared" si="87"/>
        <v>3914</v>
      </c>
      <c r="K35" s="66">
        <f t="shared" si="89"/>
        <v>1460</v>
      </c>
      <c r="L35" s="66">
        <f t="shared" si="90"/>
        <v>626</v>
      </c>
      <c r="M35" s="66"/>
      <c r="N35" s="66"/>
      <c r="O35" s="66"/>
      <c r="P35" s="65">
        <f t="shared" si="91"/>
        <v>6000</v>
      </c>
      <c r="Q35" s="65"/>
      <c r="R35" s="65"/>
      <c r="S35" s="65">
        <f t="shared" si="92"/>
        <v>0</v>
      </c>
      <c r="T35" s="65">
        <f t="shared" si="93"/>
        <v>75</v>
      </c>
      <c r="U35" s="65"/>
      <c r="V35" s="65"/>
      <c r="W35" s="65"/>
      <c r="X35" s="65">
        <f t="shared" si="94"/>
        <v>75</v>
      </c>
      <c r="Y35" s="65">
        <f t="shared" si="95"/>
        <v>5925</v>
      </c>
      <c r="Z35" s="75" t="s">
        <v>427</v>
      </c>
      <c r="AA35" s="76" t="s">
        <v>425</v>
      </c>
      <c r="AB35" s="54" t="s">
        <v>418</v>
      </c>
    </row>
    <row r="36" spans="1:28" ht="12.75">
      <c r="A36" s="63"/>
      <c r="B36" s="64" t="s">
        <v>90</v>
      </c>
      <c r="C36" s="65"/>
      <c r="D36" s="66"/>
      <c r="E36" s="66"/>
      <c r="F36" s="66">
        <f t="shared" si="5"/>
        <v>0</v>
      </c>
      <c r="G36" s="66"/>
      <c r="H36" s="66"/>
      <c r="I36" s="67"/>
      <c r="J36" s="66">
        <f t="shared" si="1"/>
        <v>0</v>
      </c>
      <c r="K36" s="66">
        <f t="shared" si="6"/>
        <v>0</v>
      </c>
      <c r="L36" s="66">
        <f t="shared" si="7"/>
        <v>0</v>
      </c>
      <c r="M36" s="66"/>
      <c r="N36" s="66"/>
      <c r="O36" s="66"/>
      <c r="P36" s="65">
        <f t="shared" si="8"/>
        <v>0</v>
      </c>
      <c r="Q36" s="66"/>
      <c r="R36" s="66"/>
      <c r="S36" s="65"/>
      <c r="T36" s="65"/>
      <c r="U36" s="65"/>
      <c r="V36" s="65"/>
      <c r="W36" s="65"/>
      <c r="X36" s="65"/>
      <c r="Y36" s="65"/>
      <c r="Z36" s="70"/>
      <c r="AA36" s="74"/>
    </row>
    <row r="37" spans="1:28" ht="25.5" customHeight="1">
      <c r="A37" s="63">
        <v>28</v>
      </c>
      <c r="B37" s="69" t="s">
        <v>395</v>
      </c>
      <c r="C37" s="65" t="s">
        <v>80</v>
      </c>
      <c r="D37" s="65">
        <v>6000</v>
      </c>
      <c r="E37" s="65">
        <v>6000</v>
      </c>
      <c r="F37" s="66">
        <f t="shared" si="5"/>
        <v>3914</v>
      </c>
      <c r="G37" s="66"/>
      <c r="H37" s="66">
        <f>G37+F37</f>
        <v>3914</v>
      </c>
      <c r="I37" s="67">
        <v>30</v>
      </c>
      <c r="J37" s="66">
        <f t="shared" si="1"/>
        <v>3914</v>
      </c>
      <c r="K37" s="66">
        <f t="shared" si="6"/>
        <v>1460</v>
      </c>
      <c r="L37" s="66">
        <f t="shared" si="7"/>
        <v>626</v>
      </c>
      <c r="M37" s="66"/>
      <c r="N37" s="66"/>
      <c r="O37" s="66"/>
      <c r="P37" s="65">
        <f t="shared" si="8"/>
        <v>6000</v>
      </c>
      <c r="Q37" s="65"/>
      <c r="R37" s="65"/>
      <c r="S37" s="65">
        <f t="shared" ref="S37" si="96">IF(P37&gt;20001,200,IF(P37&gt;15001,150,IF(P37&lt;15000,0,)))</f>
        <v>0</v>
      </c>
      <c r="T37" s="65">
        <f t="shared" ref="T37" si="97">IF(P37,IF(1,75),IF(1,0))</f>
        <v>75</v>
      </c>
      <c r="U37" s="65"/>
      <c r="V37" s="65"/>
      <c r="W37" s="65"/>
      <c r="X37" s="65">
        <f t="shared" ref="X37" si="98">SUM(Q37:W37)</f>
        <v>75</v>
      </c>
      <c r="Y37" s="65">
        <f t="shared" ref="Y37" si="99">P37-X37</f>
        <v>5925</v>
      </c>
      <c r="Z37" s="75" t="s">
        <v>396</v>
      </c>
      <c r="AA37" s="76" t="s">
        <v>397</v>
      </c>
    </row>
    <row r="38" spans="1:28" ht="19.5" customHeight="1">
      <c r="A38" s="78"/>
      <c r="B38" s="79" t="s">
        <v>130</v>
      </c>
      <c r="C38" s="80"/>
      <c r="D38" s="81">
        <f>SUM(D6:D37)</f>
        <v>181000</v>
      </c>
      <c r="E38" s="81">
        <f t="shared" ref="E38" si="100">SUM(E5:E36)</f>
        <v>153000</v>
      </c>
      <c r="F38" s="81">
        <f t="shared" ref="F38:Y38" si="101">SUM(F6:F37)</f>
        <v>118070</v>
      </c>
      <c r="G38" s="81">
        <f t="shared" si="101"/>
        <v>0</v>
      </c>
      <c r="H38" s="81">
        <f t="shared" si="101"/>
        <v>98502</v>
      </c>
      <c r="I38" s="81"/>
      <c r="J38" s="81">
        <f t="shared" si="101"/>
        <v>118070</v>
      </c>
      <c r="K38" s="81">
        <f t="shared" si="101"/>
        <v>44044</v>
      </c>
      <c r="L38" s="81">
        <f t="shared" si="101"/>
        <v>18885</v>
      </c>
      <c r="M38" s="81">
        <f t="shared" si="101"/>
        <v>0</v>
      </c>
      <c r="N38" s="81">
        <f t="shared" si="101"/>
        <v>0</v>
      </c>
      <c r="O38" s="81">
        <f t="shared" si="101"/>
        <v>0</v>
      </c>
      <c r="P38" s="81">
        <f t="shared" si="101"/>
        <v>180999</v>
      </c>
      <c r="Q38" s="81">
        <f t="shared" si="101"/>
        <v>0</v>
      </c>
      <c r="R38" s="81">
        <f t="shared" si="101"/>
        <v>0</v>
      </c>
      <c r="S38" s="81">
        <f t="shared" si="101"/>
        <v>0</v>
      </c>
      <c r="T38" s="81">
        <f t="shared" si="101"/>
        <v>2100</v>
      </c>
      <c r="U38" s="81">
        <f t="shared" si="101"/>
        <v>0</v>
      </c>
      <c r="V38" s="81">
        <f t="shared" si="101"/>
        <v>0</v>
      </c>
      <c r="W38" s="81">
        <f t="shared" si="101"/>
        <v>0</v>
      </c>
      <c r="X38" s="81">
        <f t="shared" si="101"/>
        <v>2100</v>
      </c>
      <c r="Y38" s="81">
        <f t="shared" si="101"/>
        <v>178899</v>
      </c>
      <c r="Z38" s="68"/>
      <c r="AA38" s="62"/>
    </row>
    <row r="39" spans="1:28" ht="16.5" customHeight="1">
      <c r="A39" s="82"/>
      <c r="B39" s="83"/>
      <c r="C39" s="84"/>
      <c r="D39" s="84"/>
      <c r="E39" s="84"/>
      <c r="F39" s="84"/>
      <c r="G39" s="84"/>
      <c r="H39" s="84"/>
      <c r="I39" s="85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6"/>
      <c r="AA39" s="86"/>
    </row>
    <row r="40" spans="1:28" ht="8.25" customHeight="1" thickBot="1">
      <c r="A40" s="82"/>
      <c r="B40" s="83"/>
      <c r="C40" s="84"/>
      <c r="D40" s="84"/>
      <c r="E40" s="84"/>
      <c r="F40" s="84"/>
      <c r="G40" s="84"/>
      <c r="H40" s="84"/>
      <c r="I40" s="85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6"/>
      <c r="AA40" s="86"/>
    </row>
    <row r="41" spans="1:28" s="48" customFormat="1" ht="57.6" customHeight="1" thickTop="1">
      <c r="A41" s="107" t="s">
        <v>131</v>
      </c>
      <c r="B41" s="107"/>
      <c r="C41" s="45"/>
      <c r="D41" s="45"/>
      <c r="E41" s="46" t="s">
        <v>132</v>
      </c>
      <c r="F41" s="109" t="s">
        <v>132</v>
      </c>
      <c r="G41" s="109"/>
      <c r="H41" s="109"/>
      <c r="I41" s="47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</row>
    <row r="42" spans="1:28" s="48" customFormat="1" ht="20.100000000000001" customHeight="1">
      <c r="A42" s="108" t="s">
        <v>134</v>
      </c>
      <c r="B42" s="108"/>
      <c r="C42" s="49"/>
      <c r="D42" s="50"/>
      <c r="E42" s="49" t="s">
        <v>133</v>
      </c>
      <c r="F42" s="110" t="s">
        <v>133</v>
      </c>
      <c r="G42" s="110"/>
      <c r="H42" s="110"/>
      <c r="I42" s="51"/>
      <c r="J42" s="50"/>
      <c r="K42" s="50"/>
      <c r="M42" s="50"/>
      <c r="N42" s="52"/>
      <c r="O42" s="52"/>
      <c r="P42" s="49" t="s">
        <v>31</v>
      </c>
      <c r="Q42" s="52"/>
      <c r="R42" s="52"/>
      <c r="S42" s="49"/>
      <c r="T42" s="49"/>
      <c r="U42" s="52"/>
      <c r="V42" s="52"/>
      <c r="W42" s="52"/>
      <c r="Y42" s="49"/>
      <c r="Z42" s="49" t="s">
        <v>29</v>
      </c>
      <c r="AA42" s="52"/>
    </row>
    <row r="43" spans="1:28" ht="28.5" customHeight="1">
      <c r="A43" s="87"/>
      <c r="B43" s="83"/>
      <c r="C43" s="84"/>
      <c r="D43" s="53"/>
      <c r="E43" s="53"/>
      <c r="F43" s="53"/>
      <c r="G43" s="53"/>
      <c r="H43" s="53"/>
      <c r="I43" s="88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89"/>
      <c r="Z43" s="86"/>
      <c r="AA43" s="86"/>
    </row>
    <row r="44" spans="1:28" ht="28.5" customHeight="1">
      <c r="A44" s="87"/>
      <c r="B44" s="83"/>
      <c r="C44" s="84"/>
      <c r="D44" s="53"/>
      <c r="E44" s="53"/>
      <c r="F44" s="53"/>
      <c r="G44" s="53"/>
      <c r="H44" s="53"/>
      <c r="I44" s="88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89"/>
      <c r="Z44" s="86"/>
      <c r="AA44" s="86"/>
    </row>
    <row r="45" spans="1:28" ht="28.5" customHeight="1">
      <c r="A45" s="90"/>
      <c r="B45" s="91"/>
      <c r="C45" s="92"/>
      <c r="D45" s="93"/>
      <c r="E45" s="93"/>
      <c r="F45" s="93"/>
      <c r="G45" s="93"/>
      <c r="H45" s="93"/>
      <c r="I45" s="88"/>
      <c r="J45" s="93"/>
      <c r="K45" s="93"/>
      <c r="L45" s="93"/>
      <c r="M45" s="5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4"/>
      <c r="AA45" s="86"/>
    </row>
    <row r="46" spans="1:28" ht="28.5" customHeight="1">
      <c r="A46" s="95"/>
      <c r="B46" s="96"/>
      <c r="C46" s="97"/>
      <c r="D46" s="86"/>
      <c r="E46" s="86"/>
      <c r="F46" s="86"/>
      <c r="G46" s="86"/>
      <c r="H46" s="86"/>
      <c r="I46" s="98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</row>
    <row r="47" spans="1:28" ht="28.5" customHeight="1">
      <c r="A47" s="95"/>
      <c r="B47" s="96"/>
      <c r="C47" s="97"/>
      <c r="D47" s="86"/>
      <c r="E47" s="86"/>
      <c r="F47" s="86"/>
      <c r="G47" s="86"/>
      <c r="H47" s="86"/>
      <c r="I47" s="98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9"/>
      <c r="Y47" s="86"/>
      <c r="Z47" s="86"/>
      <c r="AA47" s="86"/>
    </row>
  </sheetData>
  <mergeCells count="6">
    <mergeCell ref="A41:B41"/>
    <mergeCell ref="A42:B42"/>
    <mergeCell ref="F41:H41"/>
    <mergeCell ref="F42:H42"/>
    <mergeCell ref="A1:AA1"/>
    <mergeCell ref="A2:AA2"/>
  </mergeCells>
  <printOptions horizontalCentered="1" gridLines="1"/>
  <pageMargins left="0.43307086614173229" right="0.43307086614173229" top="0.35433070866141736" bottom="0.15748031496062992" header="0.31496062992125984" footer="0.31496062992125984"/>
  <pageSetup paperSize="5"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K168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/>
  <cols>
    <col min="1" max="1" width="5.5703125" customWidth="1"/>
    <col min="2" max="2" width="29.140625" customWidth="1"/>
    <col min="3" max="4" width="10.85546875" customWidth="1"/>
    <col min="5" max="5" width="16" customWidth="1"/>
    <col min="6" max="6" width="19.85546875" customWidth="1"/>
    <col min="7" max="11" width="9.140625" customWidth="1"/>
  </cols>
  <sheetData>
    <row r="1" spans="1:11" ht="18" customHeight="1">
      <c r="A1" s="117" t="s">
        <v>0</v>
      </c>
      <c r="B1" s="118"/>
      <c r="C1" s="118"/>
      <c r="D1" s="118"/>
      <c r="E1" s="118"/>
      <c r="F1" s="118"/>
      <c r="G1" s="1"/>
      <c r="H1" s="1"/>
      <c r="I1" s="1"/>
      <c r="J1" s="1"/>
      <c r="K1" s="1"/>
    </row>
    <row r="2" spans="1:11" ht="22.5" customHeight="1">
      <c r="A2" s="117" t="s">
        <v>135</v>
      </c>
      <c r="B2" s="118"/>
      <c r="C2" s="118"/>
      <c r="D2" s="118"/>
      <c r="E2" s="118"/>
      <c r="F2" s="118"/>
      <c r="G2" s="1"/>
      <c r="H2" s="1"/>
      <c r="I2" s="1"/>
      <c r="J2" s="1"/>
      <c r="K2" s="1"/>
    </row>
    <row r="3" spans="1:11" ht="28.5" customHeight="1">
      <c r="A3" s="2" t="s">
        <v>1</v>
      </c>
      <c r="B3" s="3" t="s">
        <v>2</v>
      </c>
      <c r="C3" s="2" t="s">
        <v>3</v>
      </c>
      <c r="D3" s="2" t="s">
        <v>4</v>
      </c>
      <c r="E3" s="2" t="s">
        <v>25</v>
      </c>
      <c r="F3" s="4" t="s">
        <v>26</v>
      </c>
      <c r="G3" s="1"/>
      <c r="H3" s="1"/>
      <c r="I3" s="1"/>
      <c r="J3" s="1"/>
      <c r="K3" s="1"/>
    </row>
    <row r="4" spans="1:11" ht="21.75" customHeight="1">
      <c r="A4" s="5"/>
      <c r="B4" s="3" t="s">
        <v>28</v>
      </c>
      <c r="C4" s="2"/>
      <c r="D4" s="5"/>
      <c r="E4" s="5"/>
      <c r="F4" s="2"/>
      <c r="G4" s="1"/>
      <c r="H4" s="1"/>
      <c r="I4" s="1"/>
      <c r="J4" s="1"/>
      <c r="K4" s="1"/>
    </row>
    <row r="5" spans="1:11" ht="28.5" customHeight="1">
      <c r="A5" s="18">
        <v>1</v>
      </c>
      <c r="B5" s="35" t="s">
        <v>30</v>
      </c>
      <c r="C5" s="36" t="s">
        <v>31</v>
      </c>
      <c r="D5" s="18">
        <v>160000</v>
      </c>
      <c r="E5" s="36"/>
      <c r="F5" s="38" t="s">
        <v>136</v>
      </c>
      <c r="G5" s="1">
        <f t="shared" ref="G5:G72" si="0">ROUND(E5/2,0)</f>
        <v>0</v>
      </c>
      <c r="H5" s="1"/>
      <c r="I5" s="1"/>
      <c r="J5" s="1"/>
      <c r="K5" s="1"/>
    </row>
    <row r="6" spans="1:11" ht="28.5" customHeight="1">
      <c r="A6" s="18">
        <v>2</v>
      </c>
      <c r="B6" s="35" t="s">
        <v>32</v>
      </c>
      <c r="C6" s="36" t="s">
        <v>41</v>
      </c>
      <c r="D6" s="18">
        <v>100106</v>
      </c>
      <c r="E6" s="36">
        <v>99831</v>
      </c>
      <c r="F6" s="38" t="s">
        <v>34</v>
      </c>
      <c r="G6" s="1">
        <f t="shared" si="0"/>
        <v>49916</v>
      </c>
      <c r="H6" s="1"/>
      <c r="I6" s="1"/>
      <c r="J6" s="1"/>
      <c r="K6" s="1"/>
    </row>
    <row r="7" spans="1:11" ht="28.5" customHeight="1">
      <c r="A7" s="18">
        <v>3</v>
      </c>
      <c r="B7" s="35" t="s">
        <v>137</v>
      </c>
      <c r="C7" s="36" t="s">
        <v>41</v>
      </c>
      <c r="D7" s="18">
        <v>45000</v>
      </c>
      <c r="E7" s="36">
        <v>44725</v>
      </c>
      <c r="F7" s="38" t="s">
        <v>138</v>
      </c>
      <c r="G7" s="1">
        <f t="shared" si="0"/>
        <v>22363</v>
      </c>
      <c r="H7" s="1"/>
      <c r="I7" s="1"/>
      <c r="J7" s="1"/>
      <c r="K7" s="1"/>
    </row>
    <row r="8" spans="1:11" ht="28.5" customHeight="1">
      <c r="A8" s="18">
        <v>4</v>
      </c>
      <c r="B8" s="35" t="s">
        <v>36</v>
      </c>
      <c r="C8" s="36" t="s">
        <v>38</v>
      </c>
      <c r="D8" s="18">
        <v>47667</v>
      </c>
      <c r="E8" s="36">
        <v>47392</v>
      </c>
      <c r="F8" s="38" t="s">
        <v>37</v>
      </c>
      <c r="G8" s="1">
        <f t="shared" si="0"/>
        <v>23696</v>
      </c>
      <c r="H8" s="1"/>
      <c r="I8" s="1"/>
      <c r="J8" s="1"/>
      <c r="K8" s="1"/>
    </row>
    <row r="9" spans="1:11" ht="28.5" customHeight="1">
      <c r="A9" s="18">
        <v>5</v>
      </c>
      <c r="B9" s="35" t="s">
        <v>139</v>
      </c>
      <c r="C9" s="36" t="s">
        <v>38</v>
      </c>
      <c r="D9" s="18">
        <v>43206</v>
      </c>
      <c r="E9" s="36">
        <v>42931</v>
      </c>
      <c r="F9" s="38" t="s">
        <v>35</v>
      </c>
      <c r="G9" s="1">
        <f t="shared" si="0"/>
        <v>21466</v>
      </c>
      <c r="H9" s="1"/>
      <c r="I9" s="1"/>
      <c r="J9" s="1"/>
      <c r="K9" s="1"/>
    </row>
    <row r="10" spans="1:11" ht="28.5" customHeight="1">
      <c r="A10" s="18">
        <v>6</v>
      </c>
      <c r="B10" s="35" t="s">
        <v>140</v>
      </c>
      <c r="C10" s="36" t="s">
        <v>38</v>
      </c>
      <c r="D10" s="18">
        <v>32460</v>
      </c>
      <c r="E10" s="36">
        <v>32185</v>
      </c>
      <c r="F10" s="38" t="s">
        <v>141</v>
      </c>
      <c r="G10" s="1">
        <f t="shared" si="0"/>
        <v>16093</v>
      </c>
      <c r="H10" s="1"/>
      <c r="I10" s="1"/>
      <c r="J10" s="1"/>
      <c r="K10" s="1"/>
    </row>
    <row r="11" spans="1:11" ht="28.5" customHeight="1">
      <c r="A11" s="18">
        <v>7</v>
      </c>
      <c r="B11" s="35" t="s">
        <v>142</v>
      </c>
      <c r="C11" s="36" t="s">
        <v>38</v>
      </c>
      <c r="D11" s="36">
        <v>18000</v>
      </c>
      <c r="E11" s="36">
        <v>17775</v>
      </c>
      <c r="F11" s="38" t="s">
        <v>143</v>
      </c>
      <c r="G11" s="1">
        <f t="shared" si="0"/>
        <v>8888</v>
      </c>
      <c r="H11" s="1"/>
      <c r="I11" s="1"/>
      <c r="J11" s="1"/>
      <c r="K11" s="1"/>
    </row>
    <row r="12" spans="1:11" ht="28.5" customHeight="1">
      <c r="A12" s="18">
        <v>8</v>
      </c>
      <c r="B12" s="35" t="s">
        <v>144</v>
      </c>
      <c r="C12" s="36" t="s">
        <v>38</v>
      </c>
      <c r="D12" s="36">
        <v>18000</v>
      </c>
      <c r="E12" s="36">
        <v>17775</v>
      </c>
      <c r="F12" s="38" t="s">
        <v>145</v>
      </c>
      <c r="G12" s="1">
        <f t="shared" si="0"/>
        <v>8888</v>
      </c>
      <c r="H12" s="1"/>
      <c r="I12" s="1"/>
      <c r="J12" s="1"/>
      <c r="K12" s="1"/>
    </row>
    <row r="13" spans="1:11" ht="28.5" customHeight="1">
      <c r="A13" s="22">
        <v>9</v>
      </c>
      <c r="B13" s="23" t="s">
        <v>146</v>
      </c>
      <c r="C13" s="24" t="s">
        <v>38</v>
      </c>
      <c r="D13" s="24">
        <v>40000</v>
      </c>
      <c r="E13" s="24">
        <v>39725</v>
      </c>
      <c r="F13" s="39" t="s">
        <v>147</v>
      </c>
      <c r="G13" s="25">
        <f t="shared" si="0"/>
        <v>19863</v>
      </c>
      <c r="H13" s="25"/>
      <c r="I13" s="25"/>
      <c r="J13" s="25"/>
      <c r="K13" s="25"/>
    </row>
    <row r="14" spans="1:11" ht="28.5" customHeight="1">
      <c r="A14" s="22">
        <v>10</v>
      </c>
      <c r="B14" s="23" t="s">
        <v>148</v>
      </c>
      <c r="C14" s="24" t="s">
        <v>38</v>
      </c>
      <c r="D14" s="24">
        <v>23000</v>
      </c>
      <c r="E14" s="24">
        <v>22725</v>
      </c>
      <c r="F14" s="39" t="s">
        <v>149</v>
      </c>
      <c r="G14" s="25">
        <f t="shared" si="0"/>
        <v>11363</v>
      </c>
      <c r="H14" s="25"/>
      <c r="I14" s="25"/>
      <c r="J14" s="25"/>
      <c r="K14" s="25"/>
    </row>
    <row r="15" spans="1:11" ht="28.5" customHeight="1">
      <c r="A15" s="18">
        <v>11</v>
      </c>
      <c r="B15" s="30" t="s">
        <v>150</v>
      </c>
      <c r="C15" s="36" t="s">
        <v>38</v>
      </c>
      <c r="D15" s="36">
        <v>22000</v>
      </c>
      <c r="E15" s="36">
        <v>21725</v>
      </c>
      <c r="F15" s="38" t="s">
        <v>151</v>
      </c>
      <c r="G15" s="1">
        <f t="shared" si="0"/>
        <v>10863</v>
      </c>
      <c r="H15" s="1"/>
      <c r="I15" s="1"/>
      <c r="J15" s="1"/>
      <c r="K15" s="1"/>
    </row>
    <row r="16" spans="1:11" ht="28.5" customHeight="1">
      <c r="A16" s="18">
        <v>12</v>
      </c>
      <c r="B16" s="30" t="s">
        <v>152</v>
      </c>
      <c r="C16" s="36" t="s">
        <v>41</v>
      </c>
      <c r="D16" s="36">
        <v>65000</v>
      </c>
      <c r="E16" s="36">
        <v>61725</v>
      </c>
      <c r="F16" s="40" t="s">
        <v>153</v>
      </c>
      <c r="G16" s="1">
        <f t="shared" si="0"/>
        <v>30863</v>
      </c>
      <c r="H16" s="1"/>
      <c r="I16" s="1"/>
      <c r="J16" s="1"/>
      <c r="K16" s="1"/>
    </row>
    <row r="17" spans="1:11" ht="28.5" customHeight="1">
      <c r="A17" s="18">
        <v>13</v>
      </c>
      <c r="B17" s="35" t="s">
        <v>39</v>
      </c>
      <c r="C17" s="36" t="s">
        <v>154</v>
      </c>
      <c r="D17" s="18">
        <v>89961</v>
      </c>
      <c r="E17" s="36">
        <v>86086</v>
      </c>
      <c r="F17" s="41" t="s">
        <v>40</v>
      </c>
      <c r="G17" s="1">
        <f t="shared" si="0"/>
        <v>43043</v>
      </c>
      <c r="H17" s="1"/>
      <c r="I17" s="1"/>
      <c r="J17" s="1"/>
      <c r="K17" s="1"/>
    </row>
    <row r="18" spans="1:11" ht="28.5" customHeight="1">
      <c r="A18" s="18">
        <v>14</v>
      </c>
      <c r="B18" s="35" t="s">
        <v>155</v>
      </c>
      <c r="C18" s="36" t="s">
        <v>41</v>
      </c>
      <c r="D18" s="18">
        <v>51841</v>
      </c>
      <c r="E18" s="36">
        <v>47966</v>
      </c>
      <c r="F18" s="41" t="s">
        <v>42</v>
      </c>
      <c r="G18" s="1">
        <f t="shared" si="0"/>
        <v>23983</v>
      </c>
      <c r="H18" s="1"/>
      <c r="I18" s="1"/>
      <c r="J18" s="1"/>
      <c r="K18" s="1"/>
    </row>
    <row r="19" spans="1:11" ht="28.5" customHeight="1">
      <c r="A19" s="18">
        <v>15</v>
      </c>
      <c r="B19" s="35" t="s">
        <v>156</v>
      </c>
      <c r="C19" s="36" t="s">
        <v>41</v>
      </c>
      <c r="D19" s="18">
        <v>55000</v>
      </c>
      <c r="E19" s="36">
        <v>54725</v>
      </c>
      <c r="F19" s="41" t="s">
        <v>157</v>
      </c>
      <c r="G19" s="1">
        <f t="shared" si="0"/>
        <v>27363</v>
      </c>
      <c r="H19" s="1"/>
      <c r="I19" s="1"/>
      <c r="J19" s="1"/>
      <c r="K19" s="1"/>
    </row>
    <row r="20" spans="1:11" ht="28.5" customHeight="1">
      <c r="A20" s="18">
        <v>16</v>
      </c>
      <c r="B20" s="35" t="s">
        <v>158</v>
      </c>
      <c r="C20" s="36" t="s">
        <v>41</v>
      </c>
      <c r="D20" s="18">
        <v>52000</v>
      </c>
      <c r="E20" s="36">
        <v>51725</v>
      </c>
      <c r="F20" s="18"/>
      <c r="G20" s="1">
        <f t="shared" si="0"/>
        <v>25863</v>
      </c>
      <c r="H20" s="1"/>
      <c r="I20" s="1"/>
      <c r="J20" s="1"/>
      <c r="K20" s="1"/>
    </row>
    <row r="21" spans="1:11" ht="28.5" customHeight="1">
      <c r="A21" s="6">
        <v>17</v>
      </c>
      <c r="B21" s="7" t="s">
        <v>159</v>
      </c>
      <c r="C21" s="8" t="s">
        <v>41</v>
      </c>
      <c r="D21" s="6">
        <v>44332</v>
      </c>
      <c r="E21" s="8">
        <v>44057</v>
      </c>
      <c r="F21" s="42" t="s">
        <v>160</v>
      </c>
      <c r="G21" s="9">
        <f t="shared" si="0"/>
        <v>22029</v>
      </c>
      <c r="H21" s="9"/>
      <c r="I21" s="9"/>
      <c r="J21" s="9"/>
      <c r="K21" s="9"/>
    </row>
    <row r="22" spans="1:11" ht="28.5" customHeight="1">
      <c r="A22" s="18">
        <v>18</v>
      </c>
      <c r="B22" s="35" t="s">
        <v>161</v>
      </c>
      <c r="C22" s="36" t="s">
        <v>41</v>
      </c>
      <c r="D22" s="18">
        <v>60000</v>
      </c>
      <c r="E22" s="36">
        <v>59725</v>
      </c>
      <c r="F22" s="41" t="s">
        <v>162</v>
      </c>
      <c r="G22" s="1">
        <f t="shared" si="0"/>
        <v>29863</v>
      </c>
      <c r="H22" s="1"/>
      <c r="I22" s="1"/>
      <c r="J22" s="1"/>
      <c r="K22" s="1"/>
    </row>
    <row r="23" spans="1:11" ht="28.5" customHeight="1">
      <c r="A23" s="18">
        <v>19</v>
      </c>
      <c r="B23" s="35" t="s">
        <v>163</v>
      </c>
      <c r="C23" s="36" t="s">
        <v>41</v>
      </c>
      <c r="D23" s="18">
        <v>62000</v>
      </c>
      <c r="E23" s="36">
        <v>61725</v>
      </c>
      <c r="F23" s="41" t="s">
        <v>43</v>
      </c>
      <c r="G23" s="1">
        <f t="shared" si="0"/>
        <v>30863</v>
      </c>
      <c r="H23" s="1"/>
      <c r="I23" s="1"/>
      <c r="J23" s="1"/>
      <c r="K23" s="1"/>
    </row>
    <row r="24" spans="1:11" ht="28.5" customHeight="1">
      <c r="A24" s="18">
        <v>20</v>
      </c>
      <c r="B24" s="35" t="s">
        <v>164</v>
      </c>
      <c r="C24" s="36" t="s">
        <v>38</v>
      </c>
      <c r="D24" s="18">
        <v>34510</v>
      </c>
      <c r="E24" s="36">
        <v>34235</v>
      </c>
      <c r="F24" s="41" t="s">
        <v>165</v>
      </c>
      <c r="G24" s="1">
        <f t="shared" si="0"/>
        <v>17118</v>
      </c>
      <c r="H24" s="1"/>
      <c r="I24" s="1"/>
      <c r="J24" s="1"/>
      <c r="K24" s="1"/>
    </row>
    <row r="25" spans="1:11" ht="28.5" customHeight="1">
      <c r="A25" s="18">
        <v>21</v>
      </c>
      <c r="B25" s="35" t="s">
        <v>166</v>
      </c>
      <c r="C25" s="36" t="s">
        <v>38</v>
      </c>
      <c r="D25" s="18">
        <v>20000</v>
      </c>
      <c r="E25" s="36">
        <v>19775</v>
      </c>
      <c r="F25" s="41" t="s">
        <v>167</v>
      </c>
      <c r="G25" s="1">
        <f t="shared" si="0"/>
        <v>9888</v>
      </c>
      <c r="H25" s="1"/>
      <c r="I25" s="1"/>
      <c r="J25" s="1"/>
      <c r="K25" s="1"/>
    </row>
    <row r="26" spans="1:11" ht="28.5" customHeight="1">
      <c r="A26" s="18">
        <v>22</v>
      </c>
      <c r="B26" s="35" t="s">
        <v>168</v>
      </c>
      <c r="C26" s="36" t="s">
        <v>38</v>
      </c>
      <c r="D26" s="18">
        <v>35000</v>
      </c>
      <c r="E26" s="36">
        <v>34725</v>
      </c>
      <c r="F26" s="41" t="s">
        <v>169</v>
      </c>
      <c r="G26" s="1">
        <f t="shared" si="0"/>
        <v>17363</v>
      </c>
      <c r="H26" s="1"/>
      <c r="I26" s="1"/>
      <c r="J26" s="1"/>
      <c r="K26" s="1"/>
    </row>
    <row r="27" spans="1:11" ht="28.5" customHeight="1">
      <c r="A27" s="22">
        <v>23</v>
      </c>
      <c r="B27" s="32" t="s">
        <v>170</v>
      </c>
      <c r="C27" s="24" t="s">
        <v>38</v>
      </c>
      <c r="D27" s="22">
        <v>18000</v>
      </c>
      <c r="E27" s="24">
        <v>17775</v>
      </c>
      <c r="F27" s="43" t="s">
        <v>171</v>
      </c>
      <c r="G27" s="25">
        <f t="shared" si="0"/>
        <v>8888</v>
      </c>
      <c r="H27" s="25"/>
      <c r="I27" s="25"/>
      <c r="J27" s="25"/>
      <c r="K27" s="25"/>
    </row>
    <row r="28" spans="1:11" ht="28.5" customHeight="1">
      <c r="A28" s="18">
        <v>24</v>
      </c>
      <c r="B28" s="35" t="s">
        <v>172</v>
      </c>
      <c r="C28" s="36" t="s">
        <v>38</v>
      </c>
      <c r="D28" s="18">
        <v>25000</v>
      </c>
      <c r="E28" s="36">
        <v>24725</v>
      </c>
      <c r="F28" s="41" t="s">
        <v>173</v>
      </c>
      <c r="G28" s="1">
        <f t="shared" si="0"/>
        <v>12363</v>
      </c>
      <c r="H28" s="1"/>
      <c r="I28" s="1"/>
      <c r="J28" s="1"/>
      <c r="K28" s="1"/>
    </row>
    <row r="29" spans="1:11" ht="28.5" customHeight="1">
      <c r="A29" s="18">
        <v>25</v>
      </c>
      <c r="B29" s="35" t="s">
        <v>45</v>
      </c>
      <c r="C29" s="36" t="s">
        <v>38</v>
      </c>
      <c r="D29" s="18">
        <v>26460</v>
      </c>
      <c r="E29" s="36">
        <v>26185</v>
      </c>
      <c r="F29" s="41" t="s">
        <v>46</v>
      </c>
      <c r="G29" s="1">
        <f t="shared" si="0"/>
        <v>13093</v>
      </c>
      <c r="H29" s="1"/>
      <c r="I29" s="1"/>
      <c r="J29" s="1"/>
      <c r="K29" s="1"/>
    </row>
    <row r="30" spans="1:11" ht="43.5" customHeight="1">
      <c r="A30" s="18">
        <v>26</v>
      </c>
      <c r="B30" s="35" t="s">
        <v>174</v>
      </c>
      <c r="C30" s="36" t="s">
        <v>175</v>
      </c>
      <c r="D30" s="18">
        <v>100000</v>
      </c>
      <c r="E30" s="36">
        <v>96125</v>
      </c>
      <c r="F30" s="38" t="s">
        <v>176</v>
      </c>
      <c r="G30" s="1">
        <f t="shared" si="0"/>
        <v>48063</v>
      </c>
      <c r="H30" s="1"/>
      <c r="I30" s="1"/>
      <c r="J30" s="1"/>
      <c r="K30" s="1"/>
    </row>
    <row r="31" spans="1:11" ht="28.5" customHeight="1">
      <c r="A31" s="18">
        <v>27</v>
      </c>
      <c r="B31" s="35" t="s">
        <v>177</v>
      </c>
      <c r="C31" s="36" t="s">
        <v>178</v>
      </c>
      <c r="D31" s="18">
        <v>65000</v>
      </c>
      <c r="E31" s="36">
        <v>64725</v>
      </c>
      <c r="F31" s="38" t="s">
        <v>179</v>
      </c>
      <c r="G31" s="1">
        <f t="shared" si="0"/>
        <v>32363</v>
      </c>
      <c r="H31" s="1"/>
      <c r="I31" s="1"/>
      <c r="J31" s="1"/>
      <c r="K31" s="1"/>
    </row>
    <row r="32" spans="1:11" ht="28.5" customHeight="1">
      <c r="A32" s="18">
        <v>28</v>
      </c>
      <c r="B32" s="35" t="s">
        <v>50</v>
      </c>
      <c r="C32" s="36" t="s">
        <v>48</v>
      </c>
      <c r="D32" s="18">
        <v>89961</v>
      </c>
      <c r="E32" s="36">
        <v>86086</v>
      </c>
      <c r="F32" s="38" t="s">
        <v>51</v>
      </c>
      <c r="G32" s="1">
        <f t="shared" si="0"/>
        <v>43043</v>
      </c>
      <c r="H32" s="1"/>
      <c r="I32" s="1"/>
      <c r="J32" s="1"/>
      <c r="K32" s="1"/>
    </row>
    <row r="33" spans="1:11" ht="28.5" customHeight="1">
      <c r="A33" s="18">
        <v>29</v>
      </c>
      <c r="B33" s="35" t="s">
        <v>180</v>
      </c>
      <c r="C33" s="36" t="s">
        <v>48</v>
      </c>
      <c r="D33" s="18">
        <v>75000</v>
      </c>
      <c r="E33" s="36">
        <v>74725</v>
      </c>
      <c r="F33" s="38" t="s">
        <v>49</v>
      </c>
      <c r="G33" s="1">
        <f t="shared" si="0"/>
        <v>37363</v>
      </c>
      <c r="H33" s="1"/>
      <c r="I33" s="1"/>
      <c r="J33" s="1"/>
      <c r="K33" s="1"/>
    </row>
    <row r="34" spans="1:11" ht="28.5" customHeight="1">
      <c r="A34" s="18">
        <v>30</v>
      </c>
      <c r="B34" s="35" t="s">
        <v>181</v>
      </c>
      <c r="C34" s="36" t="s">
        <v>113</v>
      </c>
      <c r="D34" s="18">
        <v>45000</v>
      </c>
      <c r="E34" s="36">
        <v>44725</v>
      </c>
      <c r="F34" s="38" t="s">
        <v>182</v>
      </c>
      <c r="G34" s="1">
        <f t="shared" si="0"/>
        <v>22363</v>
      </c>
      <c r="H34" s="1"/>
      <c r="I34" s="1"/>
      <c r="J34" s="1"/>
      <c r="K34" s="1"/>
    </row>
    <row r="35" spans="1:11" ht="28.5" customHeight="1">
      <c r="A35" s="18">
        <v>31</v>
      </c>
      <c r="B35" s="35" t="s">
        <v>183</v>
      </c>
      <c r="C35" s="36" t="s">
        <v>113</v>
      </c>
      <c r="D35" s="18">
        <v>55000</v>
      </c>
      <c r="E35" s="36">
        <v>54725</v>
      </c>
      <c r="F35" s="38" t="s">
        <v>184</v>
      </c>
      <c r="G35" s="1">
        <f t="shared" si="0"/>
        <v>27363</v>
      </c>
      <c r="H35" s="1"/>
      <c r="I35" s="1"/>
      <c r="J35" s="1"/>
      <c r="K35" s="1"/>
    </row>
    <row r="36" spans="1:11" ht="28.5" customHeight="1">
      <c r="A36" s="18">
        <v>32</v>
      </c>
      <c r="B36" s="35" t="s">
        <v>185</v>
      </c>
      <c r="C36" s="36" t="s">
        <v>38</v>
      </c>
      <c r="D36" s="18">
        <v>65000</v>
      </c>
      <c r="E36" s="36">
        <v>68725</v>
      </c>
      <c r="F36" s="38" t="s">
        <v>52</v>
      </c>
      <c r="G36" s="1">
        <f t="shared" si="0"/>
        <v>34363</v>
      </c>
      <c r="H36" s="1"/>
      <c r="I36" s="1"/>
      <c r="J36" s="1"/>
      <c r="K36" s="1"/>
    </row>
    <row r="37" spans="1:11" ht="28.5" customHeight="1">
      <c r="A37" s="18">
        <v>33</v>
      </c>
      <c r="B37" s="35" t="s">
        <v>54</v>
      </c>
      <c r="C37" s="36" t="s">
        <v>38</v>
      </c>
      <c r="D37" s="18">
        <v>31949</v>
      </c>
      <c r="E37" s="36">
        <v>31674</v>
      </c>
      <c r="F37" s="38" t="s">
        <v>55</v>
      </c>
      <c r="G37" s="1">
        <f t="shared" si="0"/>
        <v>15837</v>
      </c>
      <c r="H37" s="1"/>
      <c r="I37" s="1"/>
      <c r="J37" s="1"/>
      <c r="K37" s="1"/>
    </row>
    <row r="38" spans="1:11" ht="28.5" customHeight="1">
      <c r="A38" s="18">
        <v>34</v>
      </c>
      <c r="B38" s="35" t="s">
        <v>56</v>
      </c>
      <c r="C38" s="36" t="s">
        <v>38</v>
      </c>
      <c r="D38" s="18">
        <v>20000</v>
      </c>
      <c r="E38" s="36">
        <v>19775</v>
      </c>
      <c r="F38" s="38" t="s">
        <v>57</v>
      </c>
      <c r="G38" s="1">
        <f t="shared" si="0"/>
        <v>9888</v>
      </c>
      <c r="H38" s="1"/>
      <c r="I38" s="1"/>
      <c r="J38" s="1"/>
      <c r="K38" s="1"/>
    </row>
    <row r="39" spans="1:11" ht="28.5" customHeight="1">
      <c r="A39" s="18">
        <v>35</v>
      </c>
      <c r="B39" s="35" t="s">
        <v>186</v>
      </c>
      <c r="C39" s="36" t="s">
        <v>38</v>
      </c>
      <c r="D39" s="18">
        <v>25000</v>
      </c>
      <c r="E39" s="36">
        <v>24725</v>
      </c>
      <c r="F39" s="38" t="s">
        <v>187</v>
      </c>
      <c r="G39" s="1">
        <f t="shared" si="0"/>
        <v>12363</v>
      </c>
      <c r="H39" s="1"/>
      <c r="I39" s="1"/>
      <c r="J39" s="1"/>
      <c r="K39" s="1"/>
    </row>
    <row r="40" spans="1:11" ht="28.5" customHeight="1">
      <c r="A40" s="18">
        <v>36</v>
      </c>
      <c r="B40" s="35" t="s">
        <v>188</v>
      </c>
      <c r="C40" s="36" t="s">
        <v>38</v>
      </c>
      <c r="D40" s="18">
        <v>45000</v>
      </c>
      <c r="E40" s="36">
        <v>44725</v>
      </c>
      <c r="F40" s="38" t="s">
        <v>53</v>
      </c>
      <c r="G40" s="1">
        <f t="shared" si="0"/>
        <v>22363</v>
      </c>
      <c r="H40" s="1"/>
      <c r="I40" s="1"/>
      <c r="J40" s="1"/>
      <c r="K40" s="1"/>
    </row>
    <row r="41" spans="1:11" ht="28.5" customHeight="1">
      <c r="A41" s="18">
        <v>37</v>
      </c>
      <c r="B41" s="35" t="s">
        <v>189</v>
      </c>
      <c r="C41" s="36" t="s">
        <v>38</v>
      </c>
      <c r="D41" s="18">
        <v>15000</v>
      </c>
      <c r="E41" s="36">
        <v>14925</v>
      </c>
      <c r="F41" s="38" t="s">
        <v>190</v>
      </c>
      <c r="G41" s="1">
        <f t="shared" si="0"/>
        <v>7463</v>
      </c>
      <c r="H41" s="1"/>
      <c r="I41" s="1"/>
      <c r="J41" s="1"/>
      <c r="K41" s="1"/>
    </row>
    <row r="42" spans="1:11" ht="29.25" customHeight="1">
      <c r="A42" s="18">
        <v>38</v>
      </c>
      <c r="B42" s="35" t="s">
        <v>191</v>
      </c>
      <c r="C42" s="36" t="s">
        <v>38</v>
      </c>
      <c r="D42" s="18">
        <v>15000</v>
      </c>
      <c r="E42" s="36">
        <v>14925</v>
      </c>
      <c r="F42" s="38" t="s">
        <v>192</v>
      </c>
      <c r="G42" s="1">
        <f t="shared" si="0"/>
        <v>7463</v>
      </c>
      <c r="H42" s="1"/>
      <c r="I42" s="1"/>
      <c r="J42" s="1"/>
      <c r="K42" s="1"/>
    </row>
    <row r="43" spans="1:11" ht="28.5" customHeight="1">
      <c r="A43" s="18">
        <v>39</v>
      </c>
      <c r="B43" s="35" t="s">
        <v>193</v>
      </c>
      <c r="C43" s="36" t="s">
        <v>38</v>
      </c>
      <c r="D43" s="18">
        <v>60000</v>
      </c>
      <c r="E43" s="36">
        <v>59725</v>
      </c>
      <c r="F43" s="38" t="s">
        <v>47</v>
      </c>
      <c r="G43" s="1">
        <f t="shared" si="0"/>
        <v>29863</v>
      </c>
      <c r="H43" s="1"/>
      <c r="I43" s="1"/>
      <c r="J43" s="1"/>
      <c r="K43" s="1"/>
    </row>
    <row r="44" spans="1:11" ht="28.5" customHeight="1">
      <c r="A44" s="18">
        <v>40</v>
      </c>
      <c r="B44" s="35" t="s">
        <v>194</v>
      </c>
      <c r="C44" s="36" t="s">
        <v>38</v>
      </c>
      <c r="D44" s="18">
        <v>25000</v>
      </c>
      <c r="E44" s="36">
        <v>24725</v>
      </c>
      <c r="F44" s="38" t="s">
        <v>195</v>
      </c>
      <c r="G44" s="1">
        <f t="shared" si="0"/>
        <v>12363</v>
      </c>
      <c r="H44" s="1"/>
      <c r="I44" s="1"/>
      <c r="J44" s="1"/>
      <c r="K44" s="1"/>
    </row>
    <row r="45" spans="1:11" ht="28.5" customHeight="1">
      <c r="A45" s="18">
        <v>41</v>
      </c>
      <c r="B45" s="35" t="s">
        <v>196</v>
      </c>
      <c r="C45" s="36" t="s">
        <v>38</v>
      </c>
      <c r="D45" s="18">
        <v>25000</v>
      </c>
      <c r="E45" s="36">
        <v>24725</v>
      </c>
      <c r="F45" s="38" t="s">
        <v>197</v>
      </c>
      <c r="G45" s="1">
        <f t="shared" si="0"/>
        <v>12363</v>
      </c>
      <c r="H45" s="1"/>
      <c r="I45" s="1"/>
      <c r="J45" s="1"/>
      <c r="K45" s="1"/>
    </row>
    <row r="46" spans="1:11" ht="28.5" customHeight="1">
      <c r="A46" s="18">
        <v>42</v>
      </c>
      <c r="B46" s="35" t="s">
        <v>58</v>
      </c>
      <c r="C46" s="36" t="s">
        <v>38</v>
      </c>
      <c r="D46" s="18">
        <v>25000</v>
      </c>
      <c r="E46" s="36">
        <v>24725</v>
      </c>
      <c r="F46" s="38" t="s">
        <v>59</v>
      </c>
      <c r="G46" s="1">
        <f t="shared" si="0"/>
        <v>12363</v>
      </c>
      <c r="H46" s="1"/>
      <c r="I46" s="1"/>
      <c r="J46" s="1"/>
      <c r="K46" s="1"/>
    </row>
    <row r="47" spans="1:11" ht="28.5" customHeight="1">
      <c r="A47" s="18"/>
      <c r="B47" s="35"/>
      <c r="C47" s="36"/>
      <c r="D47" s="18"/>
      <c r="E47" s="36"/>
      <c r="F47" s="21"/>
      <c r="G47" s="1">
        <f t="shared" si="0"/>
        <v>0</v>
      </c>
      <c r="H47" s="1"/>
      <c r="I47" s="1"/>
      <c r="J47" s="1"/>
      <c r="K47" s="1"/>
    </row>
    <row r="48" spans="1:11" ht="28.5" customHeight="1">
      <c r="A48" s="18">
        <v>43</v>
      </c>
      <c r="B48" s="35" t="s">
        <v>198</v>
      </c>
      <c r="C48" s="36" t="s">
        <v>108</v>
      </c>
      <c r="D48" s="18">
        <v>80000</v>
      </c>
      <c r="E48" s="36">
        <v>79725</v>
      </c>
      <c r="F48" s="41" t="s">
        <v>199</v>
      </c>
      <c r="G48" s="1">
        <f t="shared" si="0"/>
        <v>39863</v>
      </c>
      <c r="H48" s="1"/>
      <c r="I48" s="1"/>
      <c r="J48" s="1"/>
      <c r="K48" s="1"/>
    </row>
    <row r="49" spans="1:11" ht="28.5" customHeight="1">
      <c r="A49" s="6">
        <v>44</v>
      </c>
      <c r="B49" s="10" t="s">
        <v>200</v>
      </c>
      <c r="C49" s="8" t="s">
        <v>41</v>
      </c>
      <c r="D49" s="6">
        <v>70000</v>
      </c>
      <c r="E49" s="8">
        <v>69725</v>
      </c>
      <c r="F49" s="42" t="s">
        <v>201</v>
      </c>
      <c r="G49" s="9">
        <f t="shared" si="0"/>
        <v>34863</v>
      </c>
      <c r="H49" s="9"/>
      <c r="I49" s="9"/>
      <c r="J49" s="9"/>
      <c r="K49" s="9"/>
    </row>
    <row r="50" spans="1:11" ht="28.5" customHeight="1">
      <c r="A50" s="18">
        <v>45</v>
      </c>
      <c r="B50" s="37" t="s">
        <v>202</v>
      </c>
      <c r="C50" s="36" t="s">
        <v>41</v>
      </c>
      <c r="D50" s="18">
        <v>50000</v>
      </c>
      <c r="E50" s="36">
        <v>49725</v>
      </c>
      <c r="F50" s="41" t="s">
        <v>203</v>
      </c>
      <c r="G50" s="1">
        <f t="shared" si="0"/>
        <v>24863</v>
      </c>
      <c r="H50" s="1"/>
      <c r="I50" s="1"/>
      <c r="J50" s="1"/>
      <c r="K50" s="1"/>
    </row>
    <row r="51" spans="1:11" ht="28.5" customHeight="1">
      <c r="A51" s="18">
        <v>46</v>
      </c>
      <c r="B51" s="37" t="s">
        <v>204</v>
      </c>
      <c r="C51" s="36" t="s">
        <v>41</v>
      </c>
      <c r="D51" s="18">
        <v>50000</v>
      </c>
      <c r="E51" s="36">
        <v>49725</v>
      </c>
      <c r="F51" s="41" t="s">
        <v>205</v>
      </c>
      <c r="G51" s="1">
        <f t="shared" si="0"/>
        <v>24863</v>
      </c>
      <c r="H51" s="1"/>
      <c r="I51" s="1"/>
      <c r="J51" s="1"/>
      <c r="K51" s="1"/>
    </row>
    <row r="52" spans="1:11" ht="28.5" customHeight="1">
      <c r="A52" s="22">
        <v>47</v>
      </c>
      <c r="B52" s="33" t="s">
        <v>206</v>
      </c>
      <c r="C52" s="24" t="s">
        <v>41</v>
      </c>
      <c r="D52" s="22">
        <v>75000</v>
      </c>
      <c r="E52" s="24">
        <v>74725</v>
      </c>
      <c r="F52" s="22"/>
      <c r="G52" s="25">
        <f t="shared" si="0"/>
        <v>37363</v>
      </c>
      <c r="H52" s="25"/>
      <c r="I52" s="25"/>
      <c r="J52" s="25"/>
      <c r="K52" s="25"/>
    </row>
    <row r="53" spans="1:11" ht="28.5" customHeight="1">
      <c r="A53" s="18">
        <v>48</v>
      </c>
      <c r="B53" s="35" t="s">
        <v>63</v>
      </c>
      <c r="C53" s="36" t="s">
        <v>41</v>
      </c>
      <c r="D53" s="18">
        <v>46559</v>
      </c>
      <c r="E53" s="36">
        <v>42684</v>
      </c>
      <c r="F53" s="41" t="s">
        <v>64</v>
      </c>
      <c r="G53" s="1">
        <f t="shared" si="0"/>
        <v>21342</v>
      </c>
      <c r="H53" s="1"/>
      <c r="I53" s="1"/>
      <c r="J53" s="1"/>
      <c r="K53" s="1"/>
    </row>
    <row r="54" spans="1:11" ht="28.5" customHeight="1">
      <c r="A54" s="18">
        <v>49</v>
      </c>
      <c r="B54" s="35" t="s">
        <v>65</v>
      </c>
      <c r="C54" s="36" t="s">
        <v>41</v>
      </c>
      <c r="D54" s="18">
        <v>40548</v>
      </c>
      <c r="E54" s="36">
        <v>36673</v>
      </c>
      <c r="F54" s="41" t="s">
        <v>66</v>
      </c>
      <c r="G54" s="1">
        <f t="shared" si="0"/>
        <v>18337</v>
      </c>
      <c r="H54" s="1"/>
      <c r="I54" s="1"/>
      <c r="J54" s="1"/>
      <c r="K54" s="1"/>
    </row>
    <row r="55" spans="1:11" ht="28.5" customHeight="1">
      <c r="A55" s="18">
        <v>50</v>
      </c>
      <c r="B55" s="35" t="s">
        <v>207</v>
      </c>
      <c r="C55" s="36" t="s">
        <v>41</v>
      </c>
      <c r="D55" s="18">
        <v>36045</v>
      </c>
      <c r="E55" s="36">
        <v>36170</v>
      </c>
      <c r="F55" s="41" t="s">
        <v>208</v>
      </c>
      <c r="G55" s="1">
        <f t="shared" si="0"/>
        <v>18085</v>
      </c>
      <c r="H55" s="1"/>
      <c r="I55" s="1"/>
      <c r="J55" s="1"/>
      <c r="K55" s="1"/>
    </row>
    <row r="56" spans="1:11" ht="28.5" customHeight="1">
      <c r="A56" s="6">
        <v>51</v>
      </c>
      <c r="B56" s="7" t="s">
        <v>209</v>
      </c>
      <c r="C56" s="8" t="s">
        <v>41</v>
      </c>
      <c r="D56" s="6">
        <v>38000</v>
      </c>
      <c r="E56" s="8">
        <v>37725</v>
      </c>
      <c r="F56" s="42" t="s">
        <v>210</v>
      </c>
      <c r="G56" s="9">
        <f t="shared" si="0"/>
        <v>18863</v>
      </c>
      <c r="H56" s="9"/>
      <c r="I56" s="9"/>
      <c r="J56" s="9"/>
      <c r="K56" s="9"/>
    </row>
    <row r="57" spans="1:11" ht="28.5" customHeight="1">
      <c r="A57" s="18">
        <v>52</v>
      </c>
      <c r="B57" s="35" t="s">
        <v>211</v>
      </c>
      <c r="C57" s="36" t="s">
        <v>41</v>
      </c>
      <c r="D57" s="18">
        <v>45000</v>
      </c>
      <c r="E57" s="36">
        <v>44725</v>
      </c>
      <c r="F57" s="41" t="s">
        <v>212</v>
      </c>
      <c r="G57" s="1">
        <f t="shared" si="0"/>
        <v>22363</v>
      </c>
      <c r="H57" s="1"/>
      <c r="I57" s="1"/>
      <c r="J57" s="1"/>
      <c r="K57" s="1"/>
    </row>
    <row r="58" spans="1:11" ht="28.5" customHeight="1">
      <c r="A58" s="18">
        <v>53</v>
      </c>
      <c r="B58" s="35" t="s">
        <v>213</v>
      </c>
      <c r="C58" s="36" t="s">
        <v>44</v>
      </c>
      <c r="D58" s="18">
        <v>20000</v>
      </c>
      <c r="E58" s="36">
        <v>19775</v>
      </c>
      <c r="F58" s="41" t="s">
        <v>214</v>
      </c>
      <c r="G58" s="1">
        <f t="shared" si="0"/>
        <v>9888</v>
      </c>
      <c r="H58" s="1"/>
      <c r="I58" s="1"/>
      <c r="J58" s="1"/>
      <c r="K58" s="1"/>
    </row>
    <row r="59" spans="1:11" ht="28.5" customHeight="1">
      <c r="A59" s="18">
        <v>54</v>
      </c>
      <c r="B59" s="35" t="s">
        <v>215</v>
      </c>
      <c r="C59" s="36" t="s">
        <v>38</v>
      </c>
      <c r="D59" s="18">
        <v>34510</v>
      </c>
      <c r="E59" s="36">
        <v>34235</v>
      </c>
      <c r="F59" s="41" t="s">
        <v>216</v>
      </c>
      <c r="G59" s="1">
        <f t="shared" si="0"/>
        <v>17118</v>
      </c>
      <c r="H59" s="1"/>
      <c r="I59" s="1"/>
      <c r="J59" s="1"/>
      <c r="K59" s="1"/>
    </row>
    <row r="60" spans="1:11" ht="28.5" customHeight="1">
      <c r="A60" s="18">
        <v>55</v>
      </c>
      <c r="B60" s="35" t="s">
        <v>217</v>
      </c>
      <c r="C60" s="36" t="s">
        <v>38</v>
      </c>
      <c r="D60" s="18">
        <v>65000</v>
      </c>
      <c r="E60" s="36">
        <v>64725</v>
      </c>
      <c r="F60" s="41" t="s">
        <v>61</v>
      </c>
      <c r="G60" s="1">
        <f t="shared" si="0"/>
        <v>32363</v>
      </c>
      <c r="H60" s="1"/>
      <c r="I60" s="1"/>
      <c r="J60" s="1"/>
      <c r="K60" s="1"/>
    </row>
    <row r="61" spans="1:11" ht="28.5" customHeight="1">
      <c r="A61" s="18">
        <v>56</v>
      </c>
      <c r="B61" s="35" t="s">
        <v>218</v>
      </c>
      <c r="C61" s="36" t="s">
        <v>38</v>
      </c>
      <c r="D61" s="18">
        <v>23000</v>
      </c>
      <c r="E61" s="36">
        <v>22725</v>
      </c>
      <c r="F61" s="41" t="s">
        <v>219</v>
      </c>
      <c r="G61" s="1">
        <f t="shared" si="0"/>
        <v>11363</v>
      </c>
      <c r="H61" s="1"/>
      <c r="I61" s="1"/>
      <c r="J61" s="1"/>
      <c r="K61" s="1"/>
    </row>
    <row r="62" spans="1:11" ht="28.5" customHeight="1">
      <c r="A62" s="6">
        <v>57</v>
      </c>
      <c r="B62" s="7" t="s">
        <v>220</v>
      </c>
      <c r="C62" s="8" t="s">
        <v>38</v>
      </c>
      <c r="D62" s="6">
        <v>59890</v>
      </c>
      <c r="E62" s="8">
        <v>59615</v>
      </c>
      <c r="F62" s="42" t="s">
        <v>60</v>
      </c>
      <c r="G62" s="9">
        <f t="shared" si="0"/>
        <v>29808</v>
      </c>
      <c r="H62" s="9"/>
      <c r="I62" s="9"/>
      <c r="J62" s="9"/>
      <c r="K62" s="9"/>
    </row>
    <row r="63" spans="1:11" ht="28.5" customHeight="1">
      <c r="A63" s="18">
        <v>58</v>
      </c>
      <c r="B63" s="35" t="s">
        <v>221</v>
      </c>
      <c r="C63" s="36" t="s">
        <v>38</v>
      </c>
      <c r="D63" s="18">
        <v>33460</v>
      </c>
      <c r="E63" s="36">
        <v>33185</v>
      </c>
      <c r="F63" s="41" t="s">
        <v>222</v>
      </c>
      <c r="G63" s="1">
        <f t="shared" si="0"/>
        <v>16593</v>
      </c>
      <c r="H63" s="1"/>
      <c r="I63" s="1"/>
      <c r="J63" s="1"/>
      <c r="K63" s="1"/>
    </row>
    <row r="64" spans="1:11" ht="28.5" customHeight="1">
      <c r="A64" s="18">
        <v>59</v>
      </c>
      <c r="B64" s="35" t="s">
        <v>223</v>
      </c>
      <c r="C64" s="36" t="s">
        <v>38</v>
      </c>
      <c r="D64" s="18">
        <v>17000</v>
      </c>
      <c r="E64" s="36">
        <v>16775</v>
      </c>
      <c r="F64" s="41" t="s">
        <v>224</v>
      </c>
      <c r="G64" s="1">
        <f t="shared" si="0"/>
        <v>8388</v>
      </c>
      <c r="H64" s="1"/>
      <c r="I64" s="1"/>
      <c r="J64" s="1"/>
      <c r="K64" s="1"/>
    </row>
    <row r="65" spans="1:11" ht="28.5" customHeight="1">
      <c r="A65" s="18">
        <v>60</v>
      </c>
      <c r="B65" s="35" t="s">
        <v>225</v>
      </c>
      <c r="C65" s="36" t="s">
        <v>38</v>
      </c>
      <c r="D65" s="18">
        <v>75000</v>
      </c>
      <c r="E65" s="36">
        <v>74725</v>
      </c>
      <c r="F65" s="41" t="s">
        <v>226</v>
      </c>
      <c r="G65" s="1">
        <f t="shared" si="0"/>
        <v>37363</v>
      </c>
      <c r="H65" s="1"/>
      <c r="I65" s="1"/>
      <c r="J65" s="1"/>
      <c r="K65" s="1"/>
    </row>
    <row r="66" spans="1:11" ht="28.5" customHeight="1">
      <c r="A66" s="18">
        <v>61</v>
      </c>
      <c r="B66" s="35" t="s">
        <v>227</v>
      </c>
      <c r="C66" s="36" t="s">
        <v>38</v>
      </c>
      <c r="D66" s="18">
        <v>18000</v>
      </c>
      <c r="E66" s="36">
        <v>17775</v>
      </c>
      <c r="F66" s="41" t="s">
        <v>228</v>
      </c>
      <c r="G66" s="1">
        <f t="shared" si="0"/>
        <v>8888</v>
      </c>
      <c r="H66" s="1"/>
      <c r="I66" s="1"/>
      <c r="J66" s="1"/>
      <c r="K66" s="1"/>
    </row>
    <row r="67" spans="1:11" ht="28.5" customHeight="1">
      <c r="A67" s="18">
        <v>62</v>
      </c>
      <c r="B67" s="35" t="s">
        <v>229</v>
      </c>
      <c r="C67" s="36" t="s">
        <v>38</v>
      </c>
      <c r="D67" s="18">
        <v>50000</v>
      </c>
      <c r="E67" s="36">
        <v>49725</v>
      </c>
      <c r="F67" s="41" t="s">
        <v>230</v>
      </c>
      <c r="G67" s="1">
        <f t="shared" si="0"/>
        <v>24863</v>
      </c>
      <c r="H67" s="1"/>
      <c r="I67" s="1"/>
      <c r="J67" s="1"/>
      <c r="K67" s="1"/>
    </row>
    <row r="68" spans="1:11" ht="28.5" customHeight="1">
      <c r="A68" s="18">
        <v>63</v>
      </c>
      <c r="B68" s="35" t="s">
        <v>231</v>
      </c>
      <c r="C68" s="36" t="s">
        <v>38</v>
      </c>
      <c r="D68" s="18">
        <v>31460</v>
      </c>
      <c r="E68" s="36">
        <v>31185</v>
      </c>
      <c r="F68" s="41" t="s">
        <v>62</v>
      </c>
      <c r="G68" s="1">
        <f t="shared" si="0"/>
        <v>15593</v>
      </c>
      <c r="H68" s="1"/>
      <c r="I68" s="1"/>
      <c r="J68" s="1"/>
      <c r="K68" s="1"/>
    </row>
    <row r="69" spans="1:11" ht="28.5" customHeight="1">
      <c r="A69" s="18">
        <v>64</v>
      </c>
      <c r="B69" s="35" t="s">
        <v>232</v>
      </c>
      <c r="C69" s="36" t="s">
        <v>38</v>
      </c>
      <c r="D69" s="18">
        <v>65000</v>
      </c>
      <c r="E69" s="36">
        <v>64725</v>
      </c>
      <c r="F69" s="41" t="s">
        <v>233</v>
      </c>
      <c r="G69" s="1">
        <f t="shared" si="0"/>
        <v>32363</v>
      </c>
      <c r="H69" s="1"/>
      <c r="I69" s="1"/>
      <c r="J69" s="1"/>
      <c r="K69" s="1"/>
    </row>
    <row r="70" spans="1:11" ht="28.5" customHeight="1">
      <c r="A70" s="18">
        <v>65</v>
      </c>
      <c r="B70" s="35" t="s">
        <v>234</v>
      </c>
      <c r="C70" s="36" t="s">
        <v>38</v>
      </c>
      <c r="D70" s="18">
        <v>15000</v>
      </c>
      <c r="E70" s="36">
        <v>14970</v>
      </c>
      <c r="F70" s="41" t="s">
        <v>67</v>
      </c>
      <c r="G70" s="1">
        <f t="shared" si="0"/>
        <v>7485</v>
      </c>
      <c r="H70" s="1"/>
      <c r="I70" s="1"/>
      <c r="J70" s="1"/>
      <c r="K70" s="1"/>
    </row>
    <row r="71" spans="1:11" ht="28.5" customHeight="1">
      <c r="A71" s="18">
        <v>66</v>
      </c>
      <c r="B71" s="35" t="s">
        <v>235</v>
      </c>
      <c r="C71" s="36" t="s">
        <v>38</v>
      </c>
      <c r="D71" s="18">
        <v>15000</v>
      </c>
      <c r="E71" s="36">
        <v>13170</v>
      </c>
      <c r="F71" s="41" t="s">
        <v>236</v>
      </c>
      <c r="G71" s="1">
        <f t="shared" si="0"/>
        <v>6585</v>
      </c>
      <c r="H71" s="1"/>
      <c r="I71" s="1"/>
      <c r="J71" s="1"/>
      <c r="K71" s="1"/>
    </row>
    <row r="72" spans="1:11" ht="28.5" customHeight="1">
      <c r="A72" s="18">
        <v>67</v>
      </c>
      <c r="B72" s="35" t="s">
        <v>237</v>
      </c>
      <c r="C72" s="36" t="s">
        <v>38</v>
      </c>
      <c r="D72" s="18">
        <v>25000</v>
      </c>
      <c r="E72" s="36">
        <v>24725</v>
      </c>
      <c r="F72" s="41" t="s">
        <v>238</v>
      </c>
      <c r="G72" s="1">
        <f t="shared" si="0"/>
        <v>12363</v>
      </c>
      <c r="H72" s="1"/>
      <c r="I72" s="1"/>
      <c r="J72" s="1"/>
      <c r="K72" s="1"/>
    </row>
    <row r="73" spans="1:11" ht="28.5" customHeight="1">
      <c r="A73" s="18"/>
      <c r="B73" s="35"/>
      <c r="C73" s="36"/>
      <c r="D73" s="18"/>
      <c r="E73" s="36"/>
      <c r="F73" s="18"/>
      <c r="G73" s="1"/>
      <c r="H73" s="1"/>
      <c r="I73" s="1"/>
      <c r="J73" s="1"/>
      <c r="K73" s="1"/>
    </row>
    <row r="74" spans="1:11" ht="28.5" customHeight="1">
      <c r="A74" s="18">
        <v>68</v>
      </c>
      <c r="B74" s="35" t="s">
        <v>239</v>
      </c>
      <c r="C74" s="36" t="s">
        <v>33</v>
      </c>
      <c r="D74" s="18">
        <v>40395</v>
      </c>
      <c r="E74" s="36">
        <v>36520</v>
      </c>
      <c r="F74" s="41" t="s">
        <v>69</v>
      </c>
      <c r="G74" s="1">
        <f t="shared" ref="G74:G105" si="1">ROUND(E74/2,0)</f>
        <v>18260</v>
      </c>
      <c r="H74" s="1"/>
      <c r="I74" s="1"/>
      <c r="J74" s="1"/>
      <c r="K74" s="1"/>
    </row>
    <row r="75" spans="1:11" ht="28.5" customHeight="1">
      <c r="A75" s="18">
        <v>69</v>
      </c>
      <c r="B75" s="35" t="s">
        <v>240</v>
      </c>
      <c r="C75" s="36" t="s">
        <v>41</v>
      </c>
      <c r="D75" s="18">
        <v>49126</v>
      </c>
      <c r="E75" s="36">
        <v>45251</v>
      </c>
      <c r="F75" s="41" t="s">
        <v>89</v>
      </c>
      <c r="G75" s="1">
        <f t="shared" si="1"/>
        <v>22626</v>
      </c>
      <c r="H75" s="1"/>
      <c r="I75" s="1"/>
      <c r="J75" s="1"/>
      <c r="K75" s="1"/>
    </row>
    <row r="76" spans="1:11" ht="28.5" customHeight="1">
      <c r="A76" s="18">
        <v>70</v>
      </c>
      <c r="B76" s="35" t="s">
        <v>241</v>
      </c>
      <c r="C76" s="36" t="s">
        <v>41</v>
      </c>
      <c r="D76" s="18">
        <v>50000</v>
      </c>
      <c r="E76" s="36">
        <v>49725</v>
      </c>
      <c r="F76" s="41" t="s">
        <v>242</v>
      </c>
      <c r="G76" s="1">
        <f t="shared" si="1"/>
        <v>24863</v>
      </c>
      <c r="H76" s="1"/>
      <c r="I76" s="1"/>
      <c r="J76" s="1"/>
      <c r="K76" s="1"/>
    </row>
    <row r="77" spans="1:11" ht="28.5" customHeight="1">
      <c r="A77" s="6">
        <v>71</v>
      </c>
      <c r="B77" s="7" t="s">
        <v>243</v>
      </c>
      <c r="C77" s="8" t="s">
        <v>41</v>
      </c>
      <c r="D77" s="6">
        <v>90000</v>
      </c>
      <c r="E77" s="8">
        <v>89725</v>
      </c>
      <c r="F77" s="6"/>
      <c r="G77" s="9">
        <f t="shared" si="1"/>
        <v>44863</v>
      </c>
      <c r="H77" s="9"/>
      <c r="I77" s="9"/>
      <c r="J77" s="9"/>
      <c r="K77" s="9"/>
    </row>
    <row r="78" spans="1:11" ht="28.5" customHeight="1">
      <c r="A78" s="18">
        <v>72</v>
      </c>
      <c r="B78" s="35" t="s">
        <v>244</v>
      </c>
      <c r="C78" s="36" t="s">
        <v>41</v>
      </c>
      <c r="D78" s="18">
        <v>75000</v>
      </c>
      <c r="E78" s="36">
        <v>74725</v>
      </c>
      <c r="F78" s="41" t="s">
        <v>245</v>
      </c>
      <c r="G78" s="1">
        <f t="shared" si="1"/>
        <v>37363</v>
      </c>
      <c r="H78" s="1"/>
      <c r="I78" s="1"/>
      <c r="J78" s="1"/>
      <c r="K78" s="1"/>
    </row>
    <row r="79" spans="1:11" ht="28.5" customHeight="1">
      <c r="A79" s="18">
        <v>73</v>
      </c>
      <c r="B79" s="35" t="s">
        <v>246</v>
      </c>
      <c r="C79" s="36" t="s">
        <v>41</v>
      </c>
      <c r="D79" s="18">
        <v>50000</v>
      </c>
      <c r="E79" s="36">
        <v>49725</v>
      </c>
      <c r="F79" s="41" t="s">
        <v>247</v>
      </c>
      <c r="G79" s="1">
        <f t="shared" si="1"/>
        <v>24863</v>
      </c>
      <c r="H79" s="1"/>
      <c r="I79" s="1"/>
      <c r="J79" s="1"/>
      <c r="K79" s="1"/>
    </row>
    <row r="80" spans="1:11" ht="28.5" customHeight="1">
      <c r="A80" s="18">
        <v>74</v>
      </c>
      <c r="B80" s="35" t="s">
        <v>248</v>
      </c>
      <c r="C80" s="36" t="s">
        <v>38</v>
      </c>
      <c r="D80" s="18">
        <v>17000</v>
      </c>
      <c r="E80" s="36">
        <v>20725</v>
      </c>
      <c r="F80" s="41" t="s">
        <v>249</v>
      </c>
      <c r="G80" s="1">
        <f t="shared" si="1"/>
        <v>10363</v>
      </c>
      <c r="H80" s="1"/>
      <c r="I80" s="1"/>
      <c r="J80" s="1"/>
      <c r="K80" s="1"/>
    </row>
    <row r="81" spans="1:11" ht="28.5" customHeight="1">
      <c r="A81" s="22">
        <v>75</v>
      </c>
      <c r="B81" s="32" t="s">
        <v>250</v>
      </c>
      <c r="C81" s="24" t="s">
        <v>38</v>
      </c>
      <c r="D81" s="22">
        <v>24000</v>
      </c>
      <c r="E81" s="24">
        <v>23725</v>
      </c>
      <c r="F81" s="43" t="s">
        <v>251</v>
      </c>
      <c r="G81" s="25">
        <f t="shared" si="1"/>
        <v>11863</v>
      </c>
      <c r="H81" s="25"/>
      <c r="I81" s="25"/>
      <c r="J81" s="25"/>
      <c r="K81" s="25"/>
    </row>
    <row r="82" spans="1:11" ht="28.5" customHeight="1">
      <c r="A82" s="18">
        <v>76</v>
      </c>
      <c r="B82" s="35" t="s">
        <v>252</v>
      </c>
      <c r="C82" s="36" t="s">
        <v>38</v>
      </c>
      <c r="D82" s="18">
        <v>30000</v>
      </c>
      <c r="E82" s="36">
        <v>29725</v>
      </c>
      <c r="F82" s="41" t="s">
        <v>253</v>
      </c>
      <c r="G82" s="1">
        <f t="shared" si="1"/>
        <v>14863</v>
      </c>
      <c r="H82" s="1"/>
      <c r="I82" s="1"/>
      <c r="J82" s="1"/>
      <c r="K82" s="1"/>
    </row>
    <row r="83" spans="1:11" ht="28.5" customHeight="1">
      <c r="A83" s="18">
        <v>77</v>
      </c>
      <c r="B83" s="35" t="s">
        <v>254</v>
      </c>
      <c r="C83" s="36" t="s">
        <v>38</v>
      </c>
      <c r="D83" s="18">
        <v>32000</v>
      </c>
      <c r="E83" s="36">
        <v>31725</v>
      </c>
      <c r="F83" s="41" t="s">
        <v>255</v>
      </c>
      <c r="G83" s="1">
        <f t="shared" si="1"/>
        <v>15863</v>
      </c>
      <c r="H83" s="1"/>
      <c r="I83" s="1"/>
      <c r="J83" s="1"/>
      <c r="K83" s="1"/>
    </row>
    <row r="84" spans="1:11" ht="28.5" customHeight="1">
      <c r="A84" s="11">
        <v>78</v>
      </c>
      <c r="B84" s="12" t="s">
        <v>256</v>
      </c>
      <c r="C84" s="13" t="s">
        <v>38</v>
      </c>
      <c r="D84" s="11">
        <v>35000</v>
      </c>
      <c r="E84" s="13">
        <v>34725</v>
      </c>
      <c r="F84" s="44" t="s">
        <v>257</v>
      </c>
      <c r="G84" s="14">
        <f t="shared" si="1"/>
        <v>17363</v>
      </c>
      <c r="H84" s="14"/>
      <c r="I84" s="14"/>
      <c r="J84" s="14"/>
      <c r="K84" s="14"/>
    </row>
    <row r="85" spans="1:11" ht="28.5" customHeight="1">
      <c r="A85" s="18">
        <v>79</v>
      </c>
      <c r="B85" s="35" t="s">
        <v>258</v>
      </c>
      <c r="C85" s="36" t="s">
        <v>38</v>
      </c>
      <c r="D85" s="18">
        <v>35000</v>
      </c>
      <c r="E85" s="36">
        <v>34725</v>
      </c>
      <c r="F85" s="41" t="s">
        <v>259</v>
      </c>
      <c r="G85" s="1">
        <f t="shared" si="1"/>
        <v>17363</v>
      </c>
      <c r="H85" s="1"/>
      <c r="I85" s="1"/>
      <c r="J85" s="1"/>
      <c r="K85" s="1"/>
    </row>
    <row r="86" spans="1:11" ht="28.5" customHeight="1">
      <c r="A86" s="18">
        <v>80</v>
      </c>
      <c r="B86" s="35" t="s">
        <v>260</v>
      </c>
      <c r="C86" s="36" t="s">
        <v>261</v>
      </c>
      <c r="D86" s="18">
        <v>52000</v>
      </c>
      <c r="E86" s="36">
        <v>51770</v>
      </c>
      <c r="F86" s="41" t="s">
        <v>262</v>
      </c>
      <c r="G86" s="1">
        <f t="shared" si="1"/>
        <v>25885</v>
      </c>
      <c r="H86" s="1"/>
      <c r="I86" s="1"/>
      <c r="J86" s="1"/>
      <c r="K86" s="1"/>
    </row>
    <row r="87" spans="1:11" ht="28.5" customHeight="1">
      <c r="A87" s="18">
        <v>81</v>
      </c>
      <c r="B87" s="35" t="s">
        <v>263</v>
      </c>
      <c r="C87" s="36" t="s">
        <v>38</v>
      </c>
      <c r="D87" s="18">
        <v>29000</v>
      </c>
      <c r="E87" s="36">
        <v>28770</v>
      </c>
      <c r="F87" s="41" t="s">
        <v>264</v>
      </c>
      <c r="G87" s="1">
        <f t="shared" si="1"/>
        <v>14385</v>
      </c>
      <c r="H87" s="1"/>
      <c r="I87" s="1"/>
      <c r="J87" s="1"/>
      <c r="K87" s="1"/>
    </row>
    <row r="88" spans="1:11" ht="28.5" customHeight="1">
      <c r="A88" s="18">
        <v>82</v>
      </c>
      <c r="B88" s="35" t="s">
        <v>265</v>
      </c>
      <c r="C88" s="36" t="s">
        <v>38</v>
      </c>
      <c r="D88" s="18">
        <v>15000</v>
      </c>
      <c r="E88" s="36">
        <v>14970</v>
      </c>
      <c r="F88" s="41" t="s">
        <v>266</v>
      </c>
      <c r="G88" s="1">
        <f t="shared" si="1"/>
        <v>7485</v>
      </c>
      <c r="H88" s="1"/>
      <c r="I88" s="1"/>
      <c r="J88" s="1"/>
      <c r="K88" s="1"/>
    </row>
    <row r="89" spans="1:11" ht="28.5" customHeight="1">
      <c r="A89" s="18">
        <v>83</v>
      </c>
      <c r="B89" s="35" t="s">
        <v>267</v>
      </c>
      <c r="C89" s="36" t="s">
        <v>38</v>
      </c>
      <c r="D89" s="18">
        <v>50000</v>
      </c>
      <c r="E89" s="36">
        <v>49770</v>
      </c>
      <c r="F89" s="41" t="s">
        <v>268</v>
      </c>
      <c r="G89" s="1">
        <f t="shared" si="1"/>
        <v>24885</v>
      </c>
      <c r="H89" s="1"/>
      <c r="I89" s="1"/>
      <c r="J89" s="1"/>
      <c r="K89" s="1"/>
    </row>
    <row r="90" spans="1:11" ht="28.5" customHeight="1">
      <c r="A90" s="18">
        <v>84</v>
      </c>
      <c r="B90" s="35" t="s">
        <v>269</v>
      </c>
      <c r="C90" s="36" t="s">
        <v>38</v>
      </c>
      <c r="D90" s="18">
        <v>16000</v>
      </c>
      <c r="E90" s="36">
        <v>15820</v>
      </c>
      <c r="F90" s="41" t="s">
        <v>270</v>
      </c>
      <c r="G90" s="1">
        <f t="shared" si="1"/>
        <v>7910</v>
      </c>
      <c r="H90" s="1"/>
      <c r="I90" s="1"/>
      <c r="J90" s="1"/>
      <c r="K90" s="1"/>
    </row>
    <row r="91" spans="1:11" ht="28.5" customHeight="1">
      <c r="A91" s="18">
        <v>85</v>
      </c>
      <c r="B91" s="35" t="s">
        <v>271</v>
      </c>
      <c r="C91" s="36" t="s">
        <v>38</v>
      </c>
      <c r="D91" s="18">
        <v>12000</v>
      </c>
      <c r="E91" s="36">
        <v>11925</v>
      </c>
      <c r="F91" s="41" t="s">
        <v>272</v>
      </c>
      <c r="G91" s="1">
        <f t="shared" si="1"/>
        <v>5963</v>
      </c>
      <c r="H91" s="1"/>
      <c r="I91" s="1"/>
      <c r="J91" s="1"/>
      <c r="K91" s="1"/>
    </row>
    <row r="92" spans="1:11" ht="28.5" customHeight="1">
      <c r="A92" s="6">
        <v>86</v>
      </c>
      <c r="B92" s="7" t="s">
        <v>273</v>
      </c>
      <c r="C92" s="8" t="s">
        <v>38</v>
      </c>
      <c r="D92" s="6">
        <v>65000</v>
      </c>
      <c r="E92" s="8">
        <v>64725</v>
      </c>
      <c r="F92" s="42" t="s">
        <v>274</v>
      </c>
      <c r="G92" s="9">
        <f t="shared" si="1"/>
        <v>32363</v>
      </c>
      <c r="H92" s="9"/>
      <c r="I92" s="9"/>
      <c r="J92" s="9"/>
      <c r="K92" s="9"/>
    </row>
    <row r="93" spans="1:11" ht="28.5" customHeight="1">
      <c r="A93" s="22">
        <v>87</v>
      </c>
      <c r="B93" s="32" t="s">
        <v>275</v>
      </c>
      <c r="C93" s="24" t="s">
        <v>113</v>
      </c>
      <c r="D93" s="22">
        <v>50000</v>
      </c>
      <c r="E93" s="24">
        <v>49725</v>
      </c>
      <c r="F93" s="43" t="s">
        <v>276</v>
      </c>
      <c r="G93" s="25">
        <f t="shared" si="1"/>
        <v>24863</v>
      </c>
      <c r="H93" s="25"/>
      <c r="I93" s="25"/>
      <c r="J93" s="25"/>
      <c r="K93" s="25"/>
    </row>
    <row r="94" spans="1:11" ht="28.5" customHeight="1">
      <c r="A94" s="18">
        <v>88</v>
      </c>
      <c r="B94" s="35" t="s">
        <v>277</v>
      </c>
      <c r="C94" s="36" t="s">
        <v>48</v>
      </c>
      <c r="D94" s="18">
        <v>65000</v>
      </c>
      <c r="E94" s="36">
        <v>64725</v>
      </c>
      <c r="F94" s="41" t="s">
        <v>278</v>
      </c>
      <c r="G94" s="1">
        <f t="shared" si="1"/>
        <v>32363</v>
      </c>
      <c r="H94" s="1"/>
      <c r="I94" s="1"/>
      <c r="J94" s="1"/>
      <c r="K94" s="1"/>
    </row>
    <row r="95" spans="1:11" ht="28.5" customHeight="1">
      <c r="A95" s="18">
        <v>89</v>
      </c>
      <c r="B95" s="35" t="s">
        <v>279</v>
      </c>
      <c r="C95" s="36" t="s">
        <v>44</v>
      </c>
      <c r="D95" s="18">
        <v>35000</v>
      </c>
      <c r="E95" s="36">
        <v>34725</v>
      </c>
      <c r="F95" s="41" t="s">
        <v>280</v>
      </c>
      <c r="G95" s="1">
        <f t="shared" si="1"/>
        <v>17363</v>
      </c>
      <c r="H95" s="1"/>
      <c r="I95" s="1"/>
      <c r="J95" s="1"/>
      <c r="K95" s="1"/>
    </row>
    <row r="96" spans="1:11" ht="28.5" customHeight="1">
      <c r="A96" s="18">
        <v>90</v>
      </c>
      <c r="B96" s="35" t="s">
        <v>281</v>
      </c>
      <c r="C96" s="36" t="s">
        <v>44</v>
      </c>
      <c r="D96" s="18">
        <v>45000</v>
      </c>
      <c r="E96" s="36">
        <v>44725</v>
      </c>
      <c r="F96" s="41" t="s">
        <v>282</v>
      </c>
      <c r="G96" s="1">
        <f t="shared" si="1"/>
        <v>22363</v>
      </c>
      <c r="H96" s="1"/>
      <c r="I96" s="1"/>
      <c r="J96" s="1"/>
      <c r="K96" s="1"/>
    </row>
    <row r="97" spans="1:11" ht="28.5" customHeight="1">
      <c r="A97" s="18">
        <v>91</v>
      </c>
      <c r="B97" s="35" t="s">
        <v>283</v>
      </c>
      <c r="C97" s="36" t="s">
        <v>44</v>
      </c>
      <c r="D97" s="18">
        <v>35000</v>
      </c>
      <c r="E97" s="36">
        <v>34725</v>
      </c>
      <c r="F97" s="41" t="s">
        <v>284</v>
      </c>
      <c r="G97" s="1">
        <f t="shared" si="1"/>
        <v>17363</v>
      </c>
      <c r="H97" s="1"/>
      <c r="I97" s="1"/>
      <c r="J97" s="1"/>
      <c r="K97" s="1"/>
    </row>
    <row r="98" spans="1:11" ht="28.5" customHeight="1">
      <c r="A98" s="11">
        <v>92</v>
      </c>
      <c r="B98" s="12" t="s">
        <v>285</v>
      </c>
      <c r="C98" s="13" t="s">
        <v>44</v>
      </c>
      <c r="D98" s="11">
        <v>36000</v>
      </c>
      <c r="E98" s="13">
        <v>35725</v>
      </c>
      <c r="F98" s="44" t="s">
        <v>286</v>
      </c>
      <c r="G98" s="14">
        <f t="shared" si="1"/>
        <v>17863</v>
      </c>
      <c r="H98" s="14"/>
      <c r="I98" s="14"/>
      <c r="J98" s="14"/>
      <c r="K98" s="14"/>
    </row>
    <row r="99" spans="1:11" ht="28.5" customHeight="1">
      <c r="A99" s="11">
        <v>93</v>
      </c>
      <c r="B99" s="12" t="s">
        <v>287</v>
      </c>
      <c r="C99" s="13" t="s">
        <v>44</v>
      </c>
      <c r="D99" s="11">
        <v>35000</v>
      </c>
      <c r="E99" s="13">
        <v>34725</v>
      </c>
      <c r="F99" s="44" t="s">
        <v>288</v>
      </c>
      <c r="G99" s="14">
        <f t="shared" si="1"/>
        <v>17363</v>
      </c>
      <c r="H99" s="14"/>
      <c r="I99" s="14"/>
      <c r="J99" s="14"/>
      <c r="K99" s="14"/>
    </row>
    <row r="100" spans="1:11" ht="28.5" customHeight="1">
      <c r="A100" s="18">
        <v>94</v>
      </c>
      <c r="B100" s="35" t="s">
        <v>289</v>
      </c>
      <c r="C100" s="36" t="s">
        <v>44</v>
      </c>
      <c r="D100" s="18">
        <v>50000</v>
      </c>
      <c r="E100" s="36">
        <v>49725</v>
      </c>
      <c r="F100" s="41" t="s">
        <v>290</v>
      </c>
      <c r="G100" s="1">
        <f t="shared" si="1"/>
        <v>24863</v>
      </c>
      <c r="H100" s="1"/>
      <c r="I100" s="1"/>
      <c r="J100" s="1"/>
      <c r="K100" s="1"/>
    </row>
    <row r="101" spans="1:11" ht="28.5" customHeight="1">
      <c r="A101" s="18">
        <v>95</v>
      </c>
      <c r="B101" s="35" t="s">
        <v>291</v>
      </c>
      <c r="C101" s="36" t="s">
        <v>33</v>
      </c>
      <c r="D101" s="18">
        <v>75085</v>
      </c>
      <c r="E101" s="36">
        <v>74810</v>
      </c>
      <c r="F101" s="41" t="s">
        <v>91</v>
      </c>
      <c r="G101" s="1">
        <f t="shared" si="1"/>
        <v>37405</v>
      </c>
      <c r="H101" s="1"/>
      <c r="I101" s="1"/>
      <c r="J101" s="1"/>
      <c r="K101" s="1"/>
    </row>
    <row r="102" spans="1:11" ht="28.5" customHeight="1">
      <c r="A102" s="18">
        <v>96</v>
      </c>
      <c r="B102" s="35" t="s">
        <v>292</v>
      </c>
      <c r="C102" s="36" t="s">
        <v>293</v>
      </c>
      <c r="D102" s="18">
        <v>35000</v>
      </c>
      <c r="E102" s="36">
        <v>34725</v>
      </c>
      <c r="F102" s="41" t="s">
        <v>294</v>
      </c>
      <c r="G102" s="1">
        <f t="shared" si="1"/>
        <v>17363</v>
      </c>
      <c r="H102" s="1"/>
      <c r="I102" s="1"/>
      <c r="J102" s="1"/>
      <c r="K102" s="1"/>
    </row>
    <row r="103" spans="1:11" ht="28.5" customHeight="1">
      <c r="A103" s="18">
        <v>97</v>
      </c>
      <c r="B103" s="35" t="s">
        <v>295</v>
      </c>
      <c r="C103" s="36" t="s">
        <v>38</v>
      </c>
      <c r="D103" s="18">
        <v>20000</v>
      </c>
      <c r="E103" s="36">
        <v>19775</v>
      </c>
      <c r="F103" s="41" t="s">
        <v>296</v>
      </c>
      <c r="G103" s="1">
        <f t="shared" si="1"/>
        <v>9888</v>
      </c>
      <c r="H103" s="1"/>
      <c r="I103" s="1"/>
      <c r="J103" s="1"/>
      <c r="K103" s="1"/>
    </row>
    <row r="104" spans="1:11" ht="28.5" customHeight="1">
      <c r="A104" s="22">
        <v>98</v>
      </c>
      <c r="B104" s="32" t="s">
        <v>297</v>
      </c>
      <c r="C104" s="24" t="s">
        <v>38</v>
      </c>
      <c r="D104" s="22">
        <v>23000</v>
      </c>
      <c r="E104" s="24">
        <v>22770</v>
      </c>
      <c r="F104" s="43" t="s">
        <v>298</v>
      </c>
      <c r="G104" s="25">
        <f t="shared" si="1"/>
        <v>11385</v>
      </c>
      <c r="H104" s="25"/>
      <c r="I104" s="25"/>
      <c r="J104" s="25"/>
      <c r="K104" s="25"/>
    </row>
    <row r="105" spans="1:11" ht="28.5" customHeight="1">
      <c r="A105" s="22">
        <v>99</v>
      </c>
      <c r="B105" s="32" t="s">
        <v>299</v>
      </c>
      <c r="C105" s="24" t="s">
        <v>38</v>
      </c>
      <c r="D105" s="22">
        <v>37000</v>
      </c>
      <c r="E105" s="24">
        <v>36725</v>
      </c>
      <c r="F105" s="43" t="s">
        <v>300</v>
      </c>
      <c r="G105" s="25">
        <f t="shared" si="1"/>
        <v>18363</v>
      </c>
      <c r="H105" s="25"/>
      <c r="I105" s="25"/>
      <c r="J105" s="25"/>
      <c r="K105" s="25"/>
    </row>
    <row r="106" spans="1:11" ht="28.5" customHeight="1">
      <c r="A106" s="22"/>
      <c r="B106" s="32"/>
      <c r="C106" s="24"/>
      <c r="D106" s="22"/>
      <c r="E106" s="24"/>
      <c r="F106" s="22"/>
      <c r="G106" s="25"/>
      <c r="H106" s="25"/>
      <c r="I106" s="25"/>
      <c r="J106" s="25"/>
      <c r="K106" s="25"/>
    </row>
    <row r="107" spans="1:11" ht="28.5" customHeight="1">
      <c r="A107" s="18">
        <v>100</v>
      </c>
      <c r="B107" s="35" t="s">
        <v>92</v>
      </c>
      <c r="C107" s="36" t="s">
        <v>301</v>
      </c>
      <c r="D107" s="36">
        <v>74994</v>
      </c>
      <c r="E107" s="36">
        <v>71119</v>
      </c>
      <c r="F107" s="41" t="s">
        <v>302</v>
      </c>
      <c r="G107" s="1">
        <f t="shared" ref="G107:G159" si="2">ROUND(E107/2,0)</f>
        <v>35560</v>
      </c>
      <c r="H107" s="1"/>
      <c r="I107" s="1"/>
      <c r="J107" s="1"/>
      <c r="K107" s="1"/>
    </row>
    <row r="108" spans="1:11" ht="28.5" customHeight="1">
      <c r="A108" s="18">
        <v>101</v>
      </c>
      <c r="B108" s="35" t="s">
        <v>93</v>
      </c>
      <c r="C108" s="36" t="s">
        <v>41</v>
      </c>
      <c r="D108" s="18">
        <v>32905</v>
      </c>
      <c r="E108" s="36">
        <v>32630</v>
      </c>
      <c r="F108" s="41" t="s">
        <v>94</v>
      </c>
      <c r="G108" s="1">
        <f t="shared" si="2"/>
        <v>16315</v>
      </c>
      <c r="H108" s="1"/>
      <c r="I108" s="1"/>
      <c r="J108" s="1"/>
      <c r="K108" s="1"/>
    </row>
    <row r="109" spans="1:11" ht="28.5" customHeight="1">
      <c r="A109" s="18">
        <v>102</v>
      </c>
      <c r="B109" s="35" t="s">
        <v>303</v>
      </c>
      <c r="C109" s="36" t="s">
        <v>41</v>
      </c>
      <c r="D109" s="18">
        <v>32905</v>
      </c>
      <c r="E109" s="36">
        <v>32630</v>
      </c>
      <c r="F109" s="41" t="s">
        <v>304</v>
      </c>
      <c r="G109" s="1">
        <f t="shared" si="2"/>
        <v>16315</v>
      </c>
      <c r="H109" s="1"/>
      <c r="I109" s="1"/>
      <c r="J109" s="1"/>
      <c r="K109" s="1"/>
    </row>
    <row r="110" spans="1:11" ht="28.5" customHeight="1">
      <c r="A110" s="18">
        <v>103</v>
      </c>
      <c r="B110" s="35" t="s">
        <v>305</v>
      </c>
      <c r="C110" s="36" t="s">
        <v>38</v>
      </c>
      <c r="D110" s="18">
        <v>50000</v>
      </c>
      <c r="E110" s="36">
        <v>49725</v>
      </c>
      <c r="F110" s="41" t="s">
        <v>306</v>
      </c>
      <c r="G110" s="1">
        <f t="shared" si="2"/>
        <v>24863</v>
      </c>
      <c r="H110" s="1"/>
      <c r="I110" s="1"/>
      <c r="J110" s="1"/>
      <c r="K110" s="1"/>
    </row>
    <row r="111" spans="1:11" ht="28.5" customHeight="1">
      <c r="A111" s="18">
        <v>104</v>
      </c>
      <c r="B111" s="35" t="s">
        <v>307</v>
      </c>
      <c r="C111" s="36" t="s">
        <v>38</v>
      </c>
      <c r="D111" s="18">
        <v>35000</v>
      </c>
      <c r="E111" s="36">
        <v>34725</v>
      </c>
      <c r="F111" s="41" t="s">
        <v>308</v>
      </c>
      <c r="G111" s="1">
        <f t="shared" si="2"/>
        <v>17363</v>
      </c>
      <c r="H111" s="1"/>
      <c r="I111" s="1"/>
      <c r="J111" s="1"/>
      <c r="K111" s="1"/>
    </row>
    <row r="112" spans="1:11" ht="28.5" customHeight="1">
      <c r="A112" s="18">
        <v>105</v>
      </c>
      <c r="B112" s="35" t="s">
        <v>95</v>
      </c>
      <c r="C112" s="36" t="s">
        <v>38</v>
      </c>
      <c r="D112" s="18">
        <v>23460</v>
      </c>
      <c r="E112" s="36">
        <v>19585</v>
      </c>
      <c r="F112" s="41" t="s">
        <v>96</v>
      </c>
      <c r="G112" s="1">
        <f t="shared" si="2"/>
        <v>9793</v>
      </c>
      <c r="H112" s="1"/>
      <c r="I112" s="1"/>
      <c r="J112" s="1"/>
      <c r="K112" s="1"/>
    </row>
    <row r="113" spans="1:11" ht="28.5" customHeight="1">
      <c r="A113" s="18">
        <v>106</v>
      </c>
      <c r="B113" s="35" t="s">
        <v>309</v>
      </c>
      <c r="C113" s="36" t="s">
        <v>38</v>
      </c>
      <c r="D113" s="18">
        <v>35000</v>
      </c>
      <c r="E113" s="36">
        <v>34725</v>
      </c>
      <c r="F113" s="41" t="s">
        <v>310</v>
      </c>
      <c r="G113" s="1">
        <f t="shared" si="2"/>
        <v>17363</v>
      </c>
      <c r="H113" s="1"/>
      <c r="I113" s="1"/>
      <c r="J113" s="1"/>
      <c r="K113" s="1"/>
    </row>
    <row r="114" spans="1:11" ht="28.5" customHeight="1">
      <c r="A114" s="18">
        <v>107</v>
      </c>
      <c r="B114" s="35" t="s">
        <v>97</v>
      </c>
      <c r="C114" s="36" t="s">
        <v>311</v>
      </c>
      <c r="D114" s="36">
        <v>110277</v>
      </c>
      <c r="E114" s="36">
        <v>106402</v>
      </c>
      <c r="F114" s="41" t="s">
        <v>98</v>
      </c>
      <c r="G114" s="1">
        <f t="shared" si="2"/>
        <v>53201</v>
      </c>
      <c r="H114" s="1"/>
      <c r="I114" s="1"/>
      <c r="J114" s="1"/>
      <c r="K114" s="1"/>
    </row>
    <row r="115" spans="1:11" ht="28.5" customHeight="1">
      <c r="A115" s="18">
        <v>108</v>
      </c>
      <c r="B115" s="35" t="s">
        <v>312</v>
      </c>
      <c r="C115" s="36" t="s">
        <v>313</v>
      </c>
      <c r="D115" s="18">
        <v>54103</v>
      </c>
      <c r="E115" s="36">
        <v>53962</v>
      </c>
      <c r="F115" s="41" t="s">
        <v>100</v>
      </c>
      <c r="G115" s="1">
        <f t="shared" si="2"/>
        <v>26981</v>
      </c>
      <c r="H115" s="1"/>
      <c r="I115" s="1"/>
      <c r="J115" s="1"/>
      <c r="K115" s="1"/>
    </row>
    <row r="116" spans="1:11" ht="28.5" customHeight="1">
      <c r="A116" s="18">
        <v>109</v>
      </c>
      <c r="B116" s="35" t="s">
        <v>314</v>
      </c>
      <c r="C116" s="36" t="s">
        <v>41</v>
      </c>
      <c r="D116" s="18">
        <v>42275</v>
      </c>
      <c r="E116" s="36">
        <v>42000</v>
      </c>
      <c r="F116" s="41" t="s">
        <v>315</v>
      </c>
      <c r="G116" s="1">
        <f t="shared" si="2"/>
        <v>21000</v>
      </c>
      <c r="H116" s="1"/>
      <c r="I116" s="1"/>
      <c r="J116" s="1"/>
      <c r="K116" s="1"/>
    </row>
    <row r="117" spans="1:11" ht="28.5" customHeight="1">
      <c r="A117" s="18">
        <v>110</v>
      </c>
      <c r="B117" s="35" t="s">
        <v>316</v>
      </c>
      <c r="C117" s="36" t="s">
        <v>317</v>
      </c>
      <c r="D117" s="18">
        <v>75085</v>
      </c>
      <c r="E117" s="36">
        <v>71210</v>
      </c>
      <c r="F117" s="41" t="s">
        <v>99</v>
      </c>
      <c r="G117" s="1">
        <f t="shared" si="2"/>
        <v>35605</v>
      </c>
      <c r="H117" s="1"/>
      <c r="I117" s="1"/>
      <c r="J117" s="1"/>
      <c r="K117" s="1"/>
    </row>
    <row r="118" spans="1:11" ht="28.5" customHeight="1">
      <c r="A118" s="18">
        <v>111</v>
      </c>
      <c r="B118" s="35" t="s">
        <v>318</v>
      </c>
      <c r="C118" s="36" t="s">
        <v>319</v>
      </c>
      <c r="D118" s="18">
        <v>170000</v>
      </c>
      <c r="E118" s="36">
        <v>169725</v>
      </c>
      <c r="F118" s="41" t="s">
        <v>320</v>
      </c>
      <c r="G118" s="1">
        <f t="shared" si="2"/>
        <v>84863</v>
      </c>
      <c r="H118" s="1"/>
      <c r="I118" s="1"/>
      <c r="J118" s="1"/>
      <c r="K118" s="1"/>
    </row>
    <row r="119" spans="1:11" ht="28.5" customHeight="1">
      <c r="A119" s="18">
        <v>112</v>
      </c>
      <c r="B119" s="35" t="s">
        <v>321</v>
      </c>
      <c r="C119" s="36" t="s">
        <v>38</v>
      </c>
      <c r="D119" s="18">
        <v>24460</v>
      </c>
      <c r="E119" s="36">
        <v>24185</v>
      </c>
      <c r="F119" s="41" t="s">
        <v>322</v>
      </c>
      <c r="G119" s="1">
        <f t="shared" si="2"/>
        <v>12093</v>
      </c>
      <c r="H119" s="1"/>
      <c r="I119" s="1"/>
      <c r="J119" s="1"/>
      <c r="K119" s="1"/>
    </row>
    <row r="120" spans="1:11" ht="28.5" customHeight="1">
      <c r="A120" s="18">
        <v>113</v>
      </c>
      <c r="B120" s="20" t="s">
        <v>101</v>
      </c>
      <c r="C120" s="36" t="s">
        <v>38</v>
      </c>
      <c r="D120" s="18">
        <v>23460</v>
      </c>
      <c r="E120" s="36">
        <v>23185</v>
      </c>
      <c r="F120" s="41" t="s">
        <v>102</v>
      </c>
      <c r="G120" s="1">
        <f t="shared" si="2"/>
        <v>11593</v>
      </c>
      <c r="H120" s="1"/>
      <c r="I120" s="1"/>
      <c r="J120" s="1"/>
      <c r="K120" s="1"/>
    </row>
    <row r="121" spans="1:11" ht="28.5" customHeight="1">
      <c r="A121" s="18">
        <v>114</v>
      </c>
      <c r="B121" s="35" t="s">
        <v>323</v>
      </c>
      <c r="C121" s="36" t="s">
        <v>38</v>
      </c>
      <c r="D121" s="18">
        <v>39632</v>
      </c>
      <c r="E121" s="36">
        <v>40020</v>
      </c>
      <c r="F121" s="41" t="s">
        <v>324</v>
      </c>
      <c r="G121" s="1">
        <f t="shared" si="2"/>
        <v>20010</v>
      </c>
      <c r="H121" s="1"/>
      <c r="I121" s="1"/>
      <c r="J121" s="1"/>
      <c r="K121" s="1"/>
    </row>
    <row r="122" spans="1:11" ht="28.5" customHeight="1">
      <c r="A122" s="18">
        <v>115</v>
      </c>
      <c r="B122" s="35" t="s">
        <v>103</v>
      </c>
      <c r="C122" s="36" t="s">
        <v>38</v>
      </c>
      <c r="D122" s="18">
        <v>20460</v>
      </c>
      <c r="E122" s="36">
        <v>20185</v>
      </c>
      <c r="F122" s="41" t="s">
        <v>104</v>
      </c>
      <c r="G122" s="1">
        <f t="shared" si="2"/>
        <v>10093</v>
      </c>
      <c r="H122" s="1"/>
      <c r="I122" s="1"/>
      <c r="J122" s="1"/>
      <c r="K122" s="1"/>
    </row>
    <row r="123" spans="1:11" ht="28.5" customHeight="1">
      <c r="A123" s="18">
        <v>116</v>
      </c>
      <c r="B123" s="35" t="s">
        <v>105</v>
      </c>
      <c r="C123" s="36" t="s">
        <v>38</v>
      </c>
      <c r="D123" s="18">
        <v>18260</v>
      </c>
      <c r="E123" s="36">
        <v>18035</v>
      </c>
      <c r="F123" s="41" t="s">
        <v>106</v>
      </c>
      <c r="G123" s="1">
        <f t="shared" si="2"/>
        <v>9018</v>
      </c>
      <c r="H123" s="1"/>
      <c r="I123" s="1"/>
      <c r="J123" s="1"/>
      <c r="K123" s="1"/>
    </row>
    <row r="124" spans="1:11" ht="28.5" customHeight="1">
      <c r="A124" s="18">
        <v>117</v>
      </c>
      <c r="B124" s="35" t="s">
        <v>325</v>
      </c>
      <c r="C124" s="36" t="s">
        <v>38</v>
      </c>
      <c r="D124" s="18">
        <v>25000</v>
      </c>
      <c r="E124" s="18">
        <v>24725</v>
      </c>
      <c r="F124" s="41" t="s">
        <v>326</v>
      </c>
      <c r="G124" s="1">
        <f t="shared" si="2"/>
        <v>12363</v>
      </c>
      <c r="H124" s="1"/>
      <c r="I124" s="1"/>
      <c r="J124" s="1"/>
      <c r="K124" s="1"/>
    </row>
    <row r="125" spans="1:11" ht="28.5" customHeight="1">
      <c r="A125" s="18">
        <v>118</v>
      </c>
      <c r="B125" s="35" t="s">
        <v>327</v>
      </c>
      <c r="C125" s="36" t="s">
        <v>38</v>
      </c>
      <c r="D125" s="18">
        <v>25000</v>
      </c>
      <c r="E125" s="18">
        <v>24725</v>
      </c>
      <c r="F125" s="41" t="s">
        <v>328</v>
      </c>
      <c r="G125" s="1">
        <f t="shared" si="2"/>
        <v>12363</v>
      </c>
      <c r="H125" s="1"/>
      <c r="I125" s="1"/>
      <c r="J125" s="1"/>
      <c r="K125" s="1"/>
    </row>
    <row r="126" spans="1:11" ht="28.5" customHeight="1">
      <c r="A126" s="18">
        <v>119</v>
      </c>
      <c r="B126" s="35" t="s">
        <v>329</v>
      </c>
      <c r="C126" s="36" t="s">
        <v>261</v>
      </c>
      <c r="D126" s="18">
        <v>52000</v>
      </c>
      <c r="E126" s="18">
        <v>51725</v>
      </c>
      <c r="F126" s="41" t="s">
        <v>330</v>
      </c>
      <c r="G126" s="1">
        <f t="shared" si="2"/>
        <v>25863</v>
      </c>
      <c r="H126" s="1"/>
      <c r="I126" s="1"/>
      <c r="J126" s="1"/>
      <c r="K126" s="1"/>
    </row>
    <row r="127" spans="1:11" ht="28.5" customHeight="1">
      <c r="A127" s="18">
        <v>120</v>
      </c>
      <c r="B127" s="35" t="s">
        <v>331</v>
      </c>
      <c r="C127" s="36" t="s">
        <v>38</v>
      </c>
      <c r="D127" s="18">
        <v>22000</v>
      </c>
      <c r="E127" s="36">
        <v>21770</v>
      </c>
      <c r="F127" s="41" t="s">
        <v>332</v>
      </c>
      <c r="G127" s="1">
        <f t="shared" si="2"/>
        <v>10885</v>
      </c>
      <c r="H127" s="1"/>
      <c r="I127" s="1"/>
      <c r="J127" s="1"/>
      <c r="K127" s="1"/>
    </row>
    <row r="128" spans="1:11" ht="28.5" customHeight="1">
      <c r="A128" s="11">
        <v>121</v>
      </c>
      <c r="B128" s="12" t="s">
        <v>333</v>
      </c>
      <c r="C128" s="13" t="s">
        <v>334</v>
      </c>
      <c r="D128" s="11">
        <v>15000</v>
      </c>
      <c r="E128" s="11">
        <v>15000</v>
      </c>
      <c r="F128" s="44" t="s">
        <v>335</v>
      </c>
      <c r="G128" s="14">
        <f t="shared" si="2"/>
        <v>7500</v>
      </c>
      <c r="H128" s="14"/>
      <c r="I128" s="14"/>
      <c r="J128" s="14"/>
      <c r="K128" s="14"/>
    </row>
    <row r="129" spans="1:11" ht="28.5" customHeight="1">
      <c r="A129" s="18">
        <v>122</v>
      </c>
      <c r="B129" s="35" t="s">
        <v>115</v>
      </c>
      <c r="C129" s="36" t="s">
        <v>41</v>
      </c>
      <c r="D129" s="18">
        <v>51516</v>
      </c>
      <c r="E129" s="36">
        <v>51241</v>
      </c>
      <c r="F129" s="41" t="s">
        <v>116</v>
      </c>
      <c r="G129" s="1">
        <f t="shared" si="2"/>
        <v>25621</v>
      </c>
      <c r="H129" s="1"/>
      <c r="I129" s="1"/>
      <c r="J129" s="1"/>
      <c r="K129" s="1"/>
    </row>
    <row r="130" spans="1:11" ht="28.5" customHeight="1">
      <c r="A130" s="18">
        <v>123</v>
      </c>
      <c r="B130" s="35" t="s">
        <v>107</v>
      </c>
      <c r="C130" s="36" t="s">
        <v>336</v>
      </c>
      <c r="D130" s="18">
        <v>62759</v>
      </c>
      <c r="E130" s="36">
        <v>58884</v>
      </c>
      <c r="F130" s="41" t="s">
        <v>109</v>
      </c>
      <c r="G130" s="1">
        <f t="shared" si="2"/>
        <v>29442</v>
      </c>
      <c r="H130" s="1"/>
      <c r="I130" s="1"/>
      <c r="J130" s="1"/>
      <c r="K130" s="1"/>
    </row>
    <row r="131" spans="1:11" ht="28.5" customHeight="1">
      <c r="A131" s="18">
        <v>124</v>
      </c>
      <c r="B131" s="35" t="s">
        <v>120</v>
      </c>
      <c r="C131" s="36" t="s">
        <v>41</v>
      </c>
      <c r="D131" s="36">
        <v>30000</v>
      </c>
      <c r="E131" s="36">
        <v>26125</v>
      </c>
      <c r="F131" s="41" t="s">
        <v>121</v>
      </c>
      <c r="G131" s="1">
        <f t="shared" si="2"/>
        <v>13063</v>
      </c>
      <c r="H131" s="1"/>
      <c r="I131" s="1"/>
      <c r="J131" s="1"/>
      <c r="K131" s="1"/>
    </row>
    <row r="132" spans="1:11" ht="28.5" customHeight="1">
      <c r="A132" s="18">
        <v>125</v>
      </c>
      <c r="B132" s="35" t="s">
        <v>337</v>
      </c>
      <c r="C132" s="36" t="s">
        <v>38</v>
      </c>
      <c r="D132" s="18">
        <v>35000</v>
      </c>
      <c r="E132" s="36">
        <v>34725</v>
      </c>
      <c r="F132" s="41" t="s">
        <v>338</v>
      </c>
      <c r="G132" s="1">
        <f t="shared" si="2"/>
        <v>17363</v>
      </c>
      <c r="H132" s="1"/>
      <c r="I132" s="1"/>
      <c r="J132" s="1"/>
      <c r="K132" s="1"/>
    </row>
    <row r="133" spans="1:11" ht="28.5" customHeight="1">
      <c r="A133" s="18">
        <v>126</v>
      </c>
      <c r="B133" s="35" t="s">
        <v>111</v>
      </c>
      <c r="C133" s="36" t="s">
        <v>48</v>
      </c>
      <c r="D133" s="18">
        <v>50000</v>
      </c>
      <c r="E133" s="36">
        <v>49725</v>
      </c>
      <c r="F133" s="41" t="s">
        <v>112</v>
      </c>
      <c r="G133" s="1">
        <f t="shared" si="2"/>
        <v>24863</v>
      </c>
      <c r="H133" s="1"/>
      <c r="I133" s="1"/>
      <c r="J133" s="1"/>
      <c r="K133" s="1"/>
    </row>
    <row r="134" spans="1:11" ht="28.5" customHeight="1">
      <c r="A134" s="18">
        <v>127</v>
      </c>
      <c r="B134" s="35" t="s">
        <v>339</v>
      </c>
      <c r="C134" s="36" t="s">
        <v>38</v>
      </c>
      <c r="D134" s="36">
        <v>30000</v>
      </c>
      <c r="E134" s="36">
        <v>29725</v>
      </c>
      <c r="F134" s="41" t="s">
        <v>340</v>
      </c>
      <c r="G134" s="1">
        <f t="shared" si="2"/>
        <v>14863</v>
      </c>
      <c r="H134" s="1"/>
      <c r="I134" s="1"/>
      <c r="J134" s="1"/>
      <c r="K134" s="1"/>
    </row>
    <row r="135" spans="1:11" ht="28.5" customHeight="1">
      <c r="A135" s="18">
        <v>128</v>
      </c>
      <c r="B135" s="35" t="s">
        <v>341</v>
      </c>
      <c r="C135" s="36" t="s">
        <v>38</v>
      </c>
      <c r="D135" s="18">
        <v>24460</v>
      </c>
      <c r="E135" s="36">
        <v>24185</v>
      </c>
      <c r="F135" s="41" t="s">
        <v>342</v>
      </c>
      <c r="G135" s="1">
        <f t="shared" si="2"/>
        <v>12093</v>
      </c>
      <c r="H135" s="1"/>
      <c r="I135" s="1"/>
      <c r="J135" s="1"/>
      <c r="K135" s="1"/>
    </row>
    <row r="136" spans="1:11" ht="28.5" customHeight="1">
      <c r="A136" s="18">
        <v>129</v>
      </c>
      <c r="B136" s="35" t="s">
        <v>123</v>
      </c>
      <c r="C136" s="36" t="s">
        <v>38</v>
      </c>
      <c r="D136" s="36">
        <v>23000</v>
      </c>
      <c r="E136" s="36">
        <v>22725</v>
      </c>
      <c r="F136" s="41" t="s">
        <v>124</v>
      </c>
      <c r="G136" s="1">
        <f t="shared" si="2"/>
        <v>11363</v>
      </c>
      <c r="H136" s="1"/>
      <c r="I136" s="1"/>
      <c r="J136" s="1"/>
      <c r="K136" s="1"/>
    </row>
    <row r="137" spans="1:11" ht="28.5" customHeight="1">
      <c r="A137" s="18">
        <v>130</v>
      </c>
      <c r="B137" s="35" t="s">
        <v>343</v>
      </c>
      <c r="C137" s="36" t="s">
        <v>38</v>
      </c>
      <c r="D137" s="18">
        <v>32460</v>
      </c>
      <c r="E137" s="36">
        <v>32185</v>
      </c>
      <c r="F137" s="41" t="s">
        <v>119</v>
      </c>
      <c r="G137" s="1">
        <f t="shared" si="2"/>
        <v>16093</v>
      </c>
      <c r="H137" s="1"/>
      <c r="I137" s="1"/>
      <c r="J137" s="1"/>
      <c r="K137" s="1"/>
    </row>
    <row r="138" spans="1:11" ht="28.5" customHeight="1">
      <c r="A138" s="18">
        <v>131</v>
      </c>
      <c r="B138" s="35" t="s">
        <v>122</v>
      </c>
      <c r="C138" s="36" t="s">
        <v>38</v>
      </c>
      <c r="D138" s="36">
        <v>22000</v>
      </c>
      <c r="E138" s="36">
        <v>21725</v>
      </c>
      <c r="F138" s="41" t="s">
        <v>344</v>
      </c>
      <c r="G138" s="1">
        <f t="shared" si="2"/>
        <v>10863</v>
      </c>
      <c r="H138" s="1"/>
      <c r="I138" s="1"/>
      <c r="J138" s="1"/>
      <c r="K138" s="1"/>
    </row>
    <row r="139" spans="1:11" ht="28.5" customHeight="1">
      <c r="A139" s="18">
        <v>132</v>
      </c>
      <c r="B139" s="35" t="s">
        <v>345</v>
      </c>
      <c r="C139" s="36" t="s">
        <v>38</v>
      </c>
      <c r="D139" s="18">
        <v>35000</v>
      </c>
      <c r="E139" s="36">
        <v>34725</v>
      </c>
      <c r="F139" s="41" t="s">
        <v>114</v>
      </c>
      <c r="G139" s="1">
        <f t="shared" si="2"/>
        <v>17363</v>
      </c>
      <c r="H139" s="1"/>
      <c r="I139" s="1"/>
      <c r="J139" s="1"/>
      <c r="K139" s="1"/>
    </row>
    <row r="140" spans="1:11" ht="28.5" customHeight="1">
      <c r="A140" s="18">
        <v>133</v>
      </c>
      <c r="B140" s="35" t="s">
        <v>346</v>
      </c>
      <c r="C140" s="36" t="s">
        <v>38</v>
      </c>
      <c r="D140" s="36">
        <v>30000</v>
      </c>
      <c r="E140" s="36">
        <v>29725</v>
      </c>
      <c r="F140" s="41" t="s">
        <v>110</v>
      </c>
      <c r="G140" s="1">
        <f t="shared" si="2"/>
        <v>14863</v>
      </c>
      <c r="H140" s="1"/>
      <c r="I140" s="1"/>
      <c r="J140" s="1"/>
      <c r="K140" s="1"/>
    </row>
    <row r="141" spans="1:11" ht="28.5" customHeight="1">
      <c r="A141" s="18">
        <v>134</v>
      </c>
      <c r="B141" s="35" t="s">
        <v>347</v>
      </c>
      <c r="C141" s="36" t="s">
        <v>38</v>
      </c>
      <c r="D141" s="36">
        <v>17500</v>
      </c>
      <c r="E141" s="36">
        <v>17275</v>
      </c>
      <c r="F141" s="41" t="s">
        <v>348</v>
      </c>
      <c r="G141" s="1">
        <f t="shared" si="2"/>
        <v>8638</v>
      </c>
      <c r="H141" s="1"/>
      <c r="I141" s="1"/>
      <c r="J141" s="1"/>
      <c r="K141" s="1"/>
    </row>
    <row r="142" spans="1:11" ht="28.5" customHeight="1">
      <c r="A142" s="18">
        <v>135</v>
      </c>
      <c r="B142" s="35" t="s">
        <v>349</v>
      </c>
      <c r="C142" s="36" t="s">
        <v>38</v>
      </c>
      <c r="D142" s="36">
        <v>18000</v>
      </c>
      <c r="E142" s="36">
        <v>17775</v>
      </c>
      <c r="F142" s="41" t="s">
        <v>350</v>
      </c>
      <c r="G142" s="1">
        <f t="shared" si="2"/>
        <v>8888</v>
      </c>
      <c r="H142" s="1"/>
      <c r="I142" s="1"/>
      <c r="J142" s="1"/>
      <c r="K142" s="1"/>
    </row>
    <row r="143" spans="1:11" ht="28.5" customHeight="1">
      <c r="A143" s="18">
        <v>136</v>
      </c>
      <c r="B143" s="35" t="s">
        <v>351</v>
      </c>
      <c r="C143" s="36" t="s">
        <v>38</v>
      </c>
      <c r="D143" s="36">
        <v>20000</v>
      </c>
      <c r="E143" s="36">
        <v>19775</v>
      </c>
      <c r="F143" s="41" t="s">
        <v>352</v>
      </c>
      <c r="G143" s="1">
        <f t="shared" si="2"/>
        <v>9888</v>
      </c>
      <c r="H143" s="1"/>
      <c r="I143" s="1"/>
      <c r="J143" s="1"/>
      <c r="K143" s="1"/>
    </row>
    <row r="144" spans="1:11" ht="28.5" customHeight="1">
      <c r="A144" s="18">
        <v>137</v>
      </c>
      <c r="B144" s="35" t="s">
        <v>353</v>
      </c>
      <c r="C144" s="36" t="s">
        <v>38</v>
      </c>
      <c r="D144" s="36">
        <v>18000</v>
      </c>
      <c r="E144" s="36">
        <v>17775</v>
      </c>
      <c r="F144" s="41" t="s">
        <v>354</v>
      </c>
      <c r="G144" s="1">
        <f t="shared" si="2"/>
        <v>8888</v>
      </c>
      <c r="H144" s="1"/>
      <c r="I144" s="1"/>
      <c r="J144" s="1"/>
      <c r="K144" s="1"/>
    </row>
    <row r="145" spans="1:11" ht="28.5" customHeight="1">
      <c r="A145" s="18">
        <v>138</v>
      </c>
      <c r="B145" s="35" t="s">
        <v>355</v>
      </c>
      <c r="C145" s="36" t="s">
        <v>38</v>
      </c>
      <c r="D145" s="36">
        <v>29000</v>
      </c>
      <c r="E145" s="36">
        <v>28725</v>
      </c>
      <c r="F145" s="41" t="s">
        <v>356</v>
      </c>
      <c r="G145" s="1">
        <f t="shared" si="2"/>
        <v>14363</v>
      </c>
      <c r="H145" s="1"/>
      <c r="I145" s="1"/>
      <c r="J145" s="1"/>
      <c r="K145" s="1"/>
    </row>
    <row r="146" spans="1:11" ht="28.5" customHeight="1">
      <c r="A146" s="18">
        <v>139</v>
      </c>
      <c r="B146" s="35" t="s">
        <v>357</v>
      </c>
      <c r="C146" s="36" t="s">
        <v>38</v>
      </c>
      <c r="D146" s="36">
        <v>18000</v>
      </c>
      <c r="E146" s="36">
        <v>17775</v>
      </c>
      <c r="F146" s="41" t="s">
        <v>358</v>
      </c>
      <c r="G146" s="1">
        <f t="shared" si="2"/>
        <v>8888</v>
      </c>
      <c r="H146" s="1"/>
      <c r="I146" s="1"/>
      <c r="J146" s="1"/>
      <c r="K146" s="1"/>
    </row>
    <row r="147" spans="1:11" ht="28.5" customHeight="1">
      <c r="A147" s="18">
        <v>140</v>
      </c>
      <c r="B147" s="35" t="s">
        <v>359</v>
      </c>
      <c r="C147" s="36" t="s">
        <v>38</v>
      </c>
      <c r="D147" s="36">
        <v>18000</v>
      </c>
      <c r="E147" s="36">
        <v>17775</v>
      </c>
      <c r="F147" s="41" t="s">
        <v>360</v>
      </c>
      <c r="G147" s="1">
        <f t="shared" si="2"/>
        <v>8888</v>
      </c>
      <c r="H147" s="1"/>
      <c r="I147" s="1"/>
      <c r="J147" s="1"/>
      <c r="K147" s="1"/>
    </row>
    <row r="148" spans="1:11" ht="28.5" customHeight="1">
      <c r="A148" s="18">
        <v>141</v>
      </c>
      <c r="B148" s="35" t="s">
        <v>361</v>
      </c>
      <c r="C148" s="36" t="s">
        <v>38</v>
      </c>
      <c r="D148" s="36">
        <v>26000</v>
      </c>
      <c r="E148" s="36">
        <v>25725</v>
      </c>
      <c r="F148" s="41" t="s">
        <v>362</v>
      </c>
      <c r="G148" s="1">
        <f t="shared" si="2"/>
        <v>12863</v>
      </c>
      <c r="H148" s="1"/>
      <c r="I148" s="1"/>
      <c r="J148" s="1"/>
      <c r="K148" s="1"/>
    </row>
    <row r="149" spans="1:11" ht="28.5" customHeight="1">
      <c r="A149" s="22">
        <v>142</v>
      </c>
      <c r="B149" s="32" t="s">
        <v>363</v>
      </c>
      <c r="C149" s="24" t="s">
        <v>38</v>
      </c>
      <c r="D149" s="24">
        <v>18000</v>
      </c>
      <c r="E149" s="24">
        <v>17775</v>
      </c>
      <c r="F149" s="43" t="s">
        <v>364</v>
      </c>
      <c r="G149" s="25">
        <f t="shared" si="2"/>
        <v>8888</v>
      </c>
      <c r="H149" s="25"/>
      <c r="I149" s="25"/>
      <c r="J149" s="25"/>
      <c r="K149" s="25"/>
    </row>
    <row r="150" spans="1:11" ht="28.5" customHeight="1">
      <c r="A150" s="18">
        <v>143</v>
      </c>
      <c r="B150" s="35" t="s">
        <v>365</v>
      </c>
      <c r="C150" s="36" t="s">
        <v>38</v>
      </c>
      <c r="D150" s="36">
        <v>21000</v>
      </c>
      <c r="E150" s="36">
        <v>20725</v>
      </c>
      <c r="F150" s="41" t="s">
        <v>366</v>
      </c>
      <c r="G150" s="1">
        <f t="shared" si="2"/>
        <v>10363</v>
      </c>
      <c r="H150" s="1"/>
      <c r="I150" s="1"/>
      <c r="J150" s="1"/>
      <c r="K150" s="1"/>
    </row>
    <row r="151" spans="1:11" ht="28.5" customHeight="1">
      <c r="A151" s="22">
        <v>144</v>
      </c>
      <c r="B151" s="32" t="s">
        <v>367</v>
      </c>
      <c r="C151" s="24" t="s">
        <v>38</v>
      </c>
      <c r="D151" s="24">
        <v>20000</v>
      </c>
      <c r="E151" s="24">
        <v>19775</v>
      </c>
      <c r="F151" s="43" t="s">
        <v>368</v>
      </c>
      <c r="G151" s="25">
        <f t="shared" si="2"/>
        <v>9888</v>
      </c>
      <c r="H151" s="25"/>
      <c r="I151" s="25"/>
      <c r="J151" s="25"/>
      <c r="K151" s="25"/>
    </row>
    <row r="152" spans="1:11" ht="28.5" customHeight="1">
      <c r="A152" s="22">
        <v>145</v>
      </c>
      <c r="B152" s="32" t="s">
        <v>369</v>
      </c>
      <c r="C152" s="24" t="s">
        <v>38</v>
      </c>
      <c r="D152" s="24">
        <v>25000</v>
      </c>
      <c r="E152" s="24">
        <v>24725</v>
      </c>
      <c r="F152" s="43" t="s">
        <v>370</v>
      </c>
      <c r="G152" s="25">
        <f t="shared" si="2"/>
        <v>12363</v>
      </c>
      <c r="H152" s="25"/>
      <c r="I152" s="25"/>
      <c r="J152" s="25"/>
      <c r="K152" s="25"/>
    </row>
    <row r="153" spans="1:11" ht="28.5" customHeight="1">
      <c r="A153" s="18">
        <v>146</v>
      </c>
      <c r="B153" s="35" t="s">
        <v>371</v>
      </c>
      <c r="C153" s="36" t="s">
        <v>261</v>
      </c>
      <c r="D153" s="18">
        <v>52000</v>
      </c>
      <c r="E153" s="36">
        <v>51725</v>
      </c>
      <c r="F153" s="41" t="s">
        <v>372</v>
      </c>
      <c r="G153" s="1">
        <f t="shared" si="2"/>
        <v>25863</v>
      </c>
      <c r="H153" s="1"/>
      <c r="I153" s="1"/>
      <c r="J153" s="1"/>
      <c r="K153" s="1"/>
    </row>
    <row r="154" spans="1:11" ht="28.5" customHeight="1">
      <c r="A154" s="18">
        <v>147</v>
      </c>
      <c r="B154" s="35" t="s">
        <v>373</v>
      </c>
      <c r="C154" s="36" t="s">
        <v>261</v>
      </c>
      <c r="D154" s="18">
        <v>52000</v>
      </c>
      <c r="E154" s="36">
        <v>51725</v>
      </c>
      <c r="F154" s="41" t="s">
        <v>374</v>
      </c>
      <c r="G154" s="1">
        <f t="shared" si="2"/>
        <v>25863</v>
      </c>
      <c r="H154" s="1"/>
      <c r="I154" s="1"/>
      <c r="J154" s="1"/>
      <c r="K154" s="1"/>
    </row>
    <row r="155" spans="1:11" ht="28.5" customHeight="1">
      <c r="A155" s="18">
        <v>148</v>
      </c>
      <c r="B155" s="35" t="s">
        <v>375</v>
      </c>
      <c r="C155" s="36" t="s">
        <v>44</v>
      </c>
      <c r="D155" s="18">
        <v>18000</v>
      </c>
      <c r="E155" s="36">
        <v>17775</v>
      </c>
      <c r="F155" s="41" t="s">
        <v>376</v>
      </c>
      <c r="G155" s="1">
        <f t="shared" si="2"/>
        <v>8888</v>
      </c>
      <c r="H155" s="1"/>
      <c r="I155" s="1"/>
      <c r="J155" s="1"/>
      <c r="K155" s="1"/>
    </row>
    <row r="156" spans="1:11" ht="28.5" customHeight="1">
      <c r="A156" s="18">
        <v>149</v>
      </c>
      <c r="B156" s="35" t="s">
        <v>125</v>
      </c>
      <c r="C156" s="36" t="s">
        <v>44</v>
      </c>
      <c r="D156" s="18">
        <v>18000</v>
      </c>
      <c r="E156" s="36">
        <v>17775</v>
      </c>
      <c r="F156" s="41" t="s">
        <v>126</v>
      </c>
      <c r="G156" s="1">
        <f t="shared" si="2"/>
        <v>8888</v>
      </c>
      <c r="H156" s="1"/>
      <c r="I156" s="1"/>
      <c r="J156" s="1"/>
      <c r="K156" s="1"/>
    </row>
    <row r="157" spans="1:11" ht="28.5" customHeight="1">
      <c r="A157" s="18">
        <v>150</v>
      </c>
      <c r="B157" s="35" t="s">
        <v>377</v>
      </c>
      <c r="C157" s="36" t="s">
        <v>48</v>
      </c>
      <c r="D157" s="18">
        <v>30000</v>
      </c>
      <c r="E157" s="36">
        <v>29725</v>
      </c>
      <c r="F157" s="41" t="s">
        <v>378</v>
      </c>
      <c r="G157" s="1">
        <f t="shared" si="2"/>
        <v>14863</v>
      </c>
      <c r="H157" s="1"/>
      <c r="I157" s="1"/>
      <c r="J157" s="1"/>
      <c r="K157" s="1"/>
    </row>
    <row r="158" spans="1:11" ht="28.5" customHeight="1">
      <c r="A158" s="18">
        <v>151</v>
      </c>
      <c r="B158" s="35" t="s">
        <v>117</v>
      </c>
      <c r="C158" s="36" t="s">
        <v>38</v>
      </c>
      <c r="D158" s="18">
        <v>25000</v>
      </c>
      <c r="E158" s="36">
        <v>24725</v>
      </c>
      <c r="F158" s="41" t="s">
        <v>118</v>
      </c>
      <c r="G158" s="1">
        <f t="shared" si="2"/>
        <v>12363</v>
      </c>
      <c r="H158" s="1"/>
      <c r="I158" s="1"/>
      <c r="J158" s="1"/>
      <c r="K158" s="1"/>
    </row>
    <row r="159" spans="1:11" ht="28.5" customHeight="1">
      <c r="A159" s="18">
        <v>152</v>
      </c>
      <c r="B159" s="35" t="s">
        <v>127</v>
      </c>
      <c r="C159" s="36" t="s">
        <v>128</v>
      </c>
      <c r="D159" s="18">
        <v>30780</v>
      </c>
      <c r="E159" s="36">
        <v>30780</v>
      </c>
      <c r="F159" s="38" t="s">
        <v>129</v>
      </c>
      <c r="G159" s="1">
        <f t="shared" si="2"/>
        <v>15390</v>
      </c>
      <c r="H159" s="1"/>
      <c r="I159" s="1"/>
      <c r="J159" s="1"/>
      <c r="K159" s="1"/>
    </row>
    <row r="160" spans="1:11" ht="28.5" customHeight="1">
      <c r="A160" s="15"/>
      <c r="B160" s="16" t="s">
        <v>8</v>
      </c>
      <c r="C160" s="17"/>
      <c r="D160" s="17">
        <f t="shared" ref="D160:E160" si="3">SUM(D5:D159)</f>
        <v>6258282</v>
      </c>
      <c r="E160" s="17">
        <f t="shared" si="3"/>
        <v>6013959</v>
      </c>
      <c r="F160" s="17"/>
      <c r="G160" s="5">
        <f>SUM(G6:G159)</f>
        <v>3007041</v>
      </c>
      <c r="H160" s="5"/>
      <c r="I160" s="5"/>
      <c r="J160" s="5"/>
      <c r="K160" s="5"/>
    </row>
    <row r="161" spans="1:11" ht="28.5" customHeight="1">
      <c r="A161" s="18"/>
      <c r="B161" s="19"/>
      <c r="C161" s="19"/>
      <c r="D161" s="20"/>
      <c r="E161" s="18"/>
      <c r="F161" s="21"/>
      <c r="G161" s="1"/>
      <c r="H161" s="1"/>
      <c r="I161" s="1"/>
      <c r="J161" s="1"/>
      <c r="K161" s="1"/>
    </row>
    <row r="162" spans="1:11" ht="28.5" customHeight="1">
      <c r="A162" s="18"/>
      <c r="B162" s="34"/>
      <c r="C162" s="34"/>
      <c r="D162" s="15"/>
      <c r="E162" s="34"/>
      <c r="F162" s="34"/>
      <c r="G162" s="1"/>
      <c r="H162" s="1"/>
      <c r="I162" s="1"/>
      <c r="J162" s="1"/>
      <c r="K162" s="1"/>
    </row>
    <row r="163" spans="1:11" ht="28.5" customHeight="1">
      <c r="A163" s="18"/>
      <c r="B163" s="16"/>
      <c r="C163" s="17"/>
      <c r="D163" s="15"/>
      <c r="E163" s="18"/>
      <c r="F163" s="21"/>
      <c r="G163" s="1"/>
      <c r="H163" s="1"/>
      <c r="I163" s="1"/>
      <c r="J163" s="1"/>
      <c r="K163" s="1"/>
    </row>
    <row r="164" spans="1:11" ht="28.5" customHeight="1">
      <c r="A164" s="18"/>
      <c r="B164" s="16"/>
      <c r="C164" s="17"/>
      <c r="D164" s="15"/>
      <c r="E164" s="18"/>
      <c r="F164" s="21"/>
      <c r="G164" s="1"/>
      <c r="H164" s="1"/>
      <c r="I164" s="1"/>
      <c r="J164" s="1"/>
      <c r="K164" s="1"/>
    </row>
    <row r="165" spans="1:11" ht="28.5" hidden="1" customHeight="1">
      <c r="A165" s="119" t="s">
        <v>0</v>
      </c>
      <c r="B165" s="118"/>
      <c r="C165" s="118"/>
      <c r="D165" s="118"/>
      <c r="E165" s="118"/>
      <c r="F165" s="118"/>
      <c r="G165" s="1"/>
      <c r="H165" s="1"/>
      <c r="I165" s="1"/>
      <c r="J165" s="1"/>
      <c r="K165" s="1"/>
    </row>
    <row r="166" spans="1:11" ht="28.5" hidden="1" customHeight="1">
      <c r="A166" s="119" t="s">
        <v>379</v>
      </c>
      <c r="B166" s="118"/>
      <c r="C166" s="118"/>
      <c r="D166" s="118"/>
      <c r="E166" s="118"/>
      <c r="F166" s="118"/>
      <c r="G166" s="1"/>
      <c r="H166" s="1"/>
      <c r="I166" s="1"/>
      <c r="J166" s="1"/>
      <c r="K166" s="1"/>
    </row>
    <row r="167" spans="1:11" ht="41.25" hidden="1" customHeight="1">
      <c r="A167" s="17" t="s">
        <v>1</v>
      </c>
      <c r="B167" s="16" t="s">
        <v>2</v>
      </c>
      <c r="C167" s="17" t="s">
        <v>3</v>
      </c>
      <c r="D167" s="17" t="s">
        <v>4</v>
      </c>
      <c r="E167" s="17" t="s">
        <v>25</v>
      </c>
      <c r="F167" s="4" t="s">
        <v>26</v>
      </c>
      <c r="G167" s="1"/>
      <c r="H167" s="1"/>
      <c r="I167" s="1"/>
      <c r="J167" s="1"/>
      <c r="K167" s="1"/>
    </row>
    <row r="168" spans="1:11" ht="28.5" customHeight="1">
      <c r="A168" s="26"/>
      <c r="B168" s="27"/>
      <c r="C168" s="28"/>
      <c r="D168" s="26"/>
      <c r="E168" s="26"/>
      <c r="F168" s="29"/>
      <c r="G168" s="1"/>
      <c r="H168" s="1"/>
      <c r="I168" s="1"/>
      <c r="J168" s="1"/>
      <c r="K168" s="1"/>
    </row>
  </sheetData>
  <autoFilter ref="A1:F160" xr:uid="{00000000-0009-0000-0000-000001000000}"/>
  <mergeCells count="4">
    <mergeCell ref="A1:F1"/>
    <mergeCell ref="A2:F2"/>
    <mergeCell ref="A165:F165"/>
    <mergeCell ref="A166:F166"/>
  </mergeCells>
  <printOptions horizontalCentered="1" gridLines="1"/>
  <pageMargins left="7.8740157480315001E-2" right="7.8740157480315001E-2" top="0.196850393700787" bottom="0.23622047244094499" header="0" footer="0"/>
  <pageSetup paperSize="5" scale="56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K144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/>
  <cols>
    <col min="1" max="1" width="5.5703125" customWidth="1"/>
    <col min="2" max="2" width="29.140625" customWidth="1"/>
    <col min="3" max="4" width="10.85546875" customWidth="1"/>
    <col min="5" max="5" width="16" customWidth="1"/>
    <col min="6" max="6" width="19.85546875" customWidth="1"/>
    <col min="7" max="11" width="9.140625" customWidth="1"/>
  </cols>
  <sheetData>
    <row r="1" spans="1:11" ht="18" customHeight="1">
      <c r="A1" s="117" t="s">
        <v>0</v>
      </c>
      <c r="B1" s="118"/>
      <c r="C1" s="118"/>
      <c r="D1" s="118"/>
      <c r="E1" s="118"/>
      <c r="F1" s="118"/>
      <c r="G1" s="1"/>
      <c r="H1" s="1"/>
      <c r="I1" s="1"/>
      <c r="J1" s="1"/>
      <c r="K1" s="1"/>
    </row>
    <row r="2" spans="1:11" ht="22.5" customHeight="1">
      <c r="A2" s="117" t="s">
        <v>135</v>
      </c>
      <c r="B2" s="118"/>
      <c r="C2" s="118"/>
      <c r="D2" s="118"/>
      <c r="E2" s="118"/>
      <c r="F2" s="118"/>
      <c r="G2" s="1"/>
      <c r="H2" s="1"/>
      <c r="I2" s="1"/>
      <c r="J2" s="1"/>
      <c r="K2" s="1"/>
    </row>
    <row r="3" spans="1:11" ht="28.5" customHeight="1">
      <c r="A3" s="2" t="s">
        <v>1</v>
      </c>
      <c r="B3" s="3" t="s">
        <v>2</v>
      </c>
      <c r="C3" s="2" t="s">
        <v>3</v>
      </c>
      <c r="D3" s="2" t="s">
        <v>4</v>
      </c>
      <c r="E3" s="2" t="s">
        <v>25</v>
      </c>
      <c r="F3" s="4" t="s">
        <v>26</v>
      </c>
      <c r="G3" s="1"/>
      <c r="H3" s="1"/>
      <c r="I3" s="1"/>
      <c r="J3" s="1"/>
      <c r="K3" s="1"/>
    </row>
    <row r="4" spans="1:11" ht="21.75" customHeight="1">
      <c r="A4" s="5"/>
      <c r="B4" s="3" t="s">
        <v>28</v>
      </c>
      <c r="C4" s="2"/>
      <c r="D4" s="5"/>
      <c r="E4" s="5"/>
      <c r="F4" s="2"/>
      <c r="G4" s="1"/>
      <c r="H4" s="1"/>
      <c r="I4" s="1"/>
      <c r="J4" s="1"/>
      <c r="K4" s="1"/>
    </row>
    <row r="5" spans="1:11" ht="28.5" customHeight="1">
      <c r="A5" s="18">
        <v>1</v>
      </c>
      <c r="B5" s="35" t="s">
        <v>30</v>
      </c>
      <c r="C5" s="36" t="s">
        <v>31</v>
      </c>
      <c r="D5" s="18">
        <v>160000</v>
      </c>
      <c r="E5" s="36"/>
      <c r="F5" s="38" t="s">
        <v>136</v>
      </c>
      <c r="G5" s="1">
        <f t="shared" ref="G5:G135" si="0">ROUND(E5/2,0)</f>
        <v>0</v>
      </c>
      <c r="H5" s="1"/>
      <c r="I5" s="1"/>
      <c r="J5" s="1"/>
      <c r="K5" s="1"/>
    </row>
    <row r="6" spans="1:11" ht="28.5" customHeight="1">
      <c r="A6" s="18">
        <v>2</v>
      </c>
      <c r="B6" s="35" t="s">
        <v>32</v>
      </c>
      <c r="C6" s="36" t="s">
        <v>41</v>
      </c>
      <c r="D6" s="18">
        <v>100106</v>
      </c>
      <c r="E6" s="36">
        <v>99831</v>
      </c>
      <c r="F6" s="38" t="s">
        <v>34</v>
      </c>
      <c r="G6" s="1">
        <f t="shared" si="0"/>
        <v>49916</v>
      </c>
      <c r="H6" s="1"/>
      <c r="I6" s="1"/>
      <c r="J6" s="1"/>
      <c r="K6" s="1"/>
    </row>
    <row r="7" spans="1:11" ht="28.5" customHeight="1">
      <c r="A7" s="18">
        <v>3</v>
      </c>
      <c r="B7" s="35" t="s">
        <v>137</v>
      </c>
      <c r="C7" s="36" t="s">
        <v>41</v>
      </c>
      <c r="D7" s="18">
        <v>45000</v>
      </c>
      <c r="E7" s="36">
        <v>44725</v>
      </c>
      <c r="F7" s="38" t="s">
        <v>138</v>
      </c>
      <c r="G7" s="1">
        <f t="shared" si="0"/>
        <v>22363</v>
      </c>
      <c r="H7" s="1"/>
      <c r="I7" s="1"/>
      <c r="J7" s="1"/>
      <c r="K7" s="1"/>
    </row>
    <row r="8" spans="1:11" ht="28.5" customHeight="1">
      <c r="A8" s="18">
        <v>4</v>
      </c>
      <c r="B8" s="35" t="s">
        <v>36</v>
      </c>
      <c r="C8" s="36" t="s">
        <v>38</v>
      </c>
      <c r="D8" s="18">
        <v>47667</v>
      </c>
      <c r="E8" s="36">
        <v>47392</v>
      </c>
      <c r="F8" s="38" t="s">
        <v>37</v>
      </c>
      <c r="G8" s="1">
        <f t="shared" si="0"/>
        <v>23696</v>
      </c>
      <c r="H8" s="1"/>
      <c r="I8" s="1"/>
      <c r="J8" s="1"/>
      <c r="K8" s="1"/>
    </row>
    <row r="9" spans="1:11" ht="28.5" customHeight="1">
      <c r="A9" s="18">
        <v>5</v>
      </c>
      <c r="B9" s="35" t="s">
        <v>139</v>
      </c>
      <c r="C9" s="36" t="s">
        <v>38</v>
      </c>
      <c r="D9" s="18">
        <v>43206</v>
      </c>
      <c r="E9" s="36">
        <v>42931</v>
      </c>
      <c r="F9" s="38" t="s">
        <v>35</v>
      </c>
      <c r="G9" s="1">
        <f t="shared" si="0"/>
        <v>21466</v>
      </c>
      <c r="H9" s="1"/>
      <c r="I9" s="1"/>
      <c r="J9" s="1"/>
      <c r="K9" s="1"/>
    </row>
    <row r="10" spans="1:11" ht="28.5" customHeight="1">
      <c r="A10" s="18">
        <v>6</v>
      </c>
      <c r="B10" s="35" t="s">
        <v>140</v>
      </c>
      <c r="C10" s="36" t="s">
        <v>38</v>
      </c>
      <c r="D10" s="18">
        <v>32460</v>
      </c>
      <c r="E10" s="36">
        <v>32185</v>
      </c>
      <c r="F10" s="38" t="s">
        <v>141</v>
      </c>
      <c r="G10" s="1">
        <f t="shared" si="0"/>
        <v>16093</v>
      </c>
      <c r="H10" s="1"/>
      <c r="I10" s="1"/>
      <c r="J10" s="1"/>
      <c r="K10" s="1"/>
    </row>
    <row r="11" spans="1:11" ht="28.5" customHeight="1">
      <c r="A11" s="18">
        <v>7</v>
      </c>
      <c r="B11" s="35" t="s">
        <v>142</v>
      </c>
      <c r="C11" s="36" t="s">
        <v>38</v>
      </c>
      <c r="D11" s="36">
        <v>18000</v>
      </c>
      <c r="E11" s="36">
        <v>17775</v>
      </c>
      <c r="F11" s="38" t="s">
        <v>143</v>
      </c>
      <c r="G11" s="1">
        <f t="shared" si="0"/>
        <v>8888</v>
      </c>
      <c r="H11" s="1"/>
      <c r="I11" s="1"/>
      <c r="J11" s="1"/>
      <c r="K11" s="1"/>
    </row>
    <row r="12" spans="1:11" ht="28.5" customHeight="1">
      <c r="A12" s="18">
        <v>8</v>
      </c>
      <c r="B12" s="35" t="s">
        <v>144</v>
      </c>
      <c r="C12" s="36" t="s">
        <v>38</v>
      </c>
      <c r="D12" s="36">
        <v>18000</v>
      </c>
      <c r="E12" s="36">
        <v>17775</v>
      </c>
      <c r="F12" s="38" t="s">
        <v>145</v>
      </c>
      <c r="G12" s="1">
        <f t="shared" si="0"/>
        <v>8888</v>
      </c>
      <c r="H12" s="1"/>
      <c r="I12" s="1"/>
      <c r="J12" s="1"/>
      <c r="K12" s="1"/>
    </row>
    <row r="13" spans="1:11" ht="28.5" customHeight="1">
      <c r="A13" s="18">
        <v>11</v>
      </c>
      <c r="B13" s="30" t="s">
        <v>150</v>
      </c>
      <c r="C13" s="36" t="s">
        <v>38</v>
      </c>
      <c r="D13" s="36">
        <v>22000</v>
      </c>
      <c r="E13" s="36">
        <v>21725</v>
      </c>
      <c r="F13" s="38" t="s">
        <v>151</v>
      </c>
      <c r="G13" s="1">
        <f t="shared" si="0"/>
        <v>10863</v>
      </c>
      <c r="H13" s="1"/>
      <c r="I13" s="1"/>
      <c r="J13" s="1"/>
      <c r="K13" s="1"/>
    </row>
    <row r="14" spans="1:11" ht="28.5" customHeight="1">
      <c r="A14" s="18">
        <v>12</v>
      </c>
      <c r="B14" s="30" t="s">
        <v>152</v>
      </c>
      <c r="C14" s="36" t="s">
        <v>41</v>
      </c>
      <c r="D14" s="36">
        <v>65000</v>
      </c>
      <c r="E14" s="36">
        <v>61725</v>
      </c>
      <c r="F14" s="40" t="s">
        <v>153</v>
      </c>
      <c r="G14" s="1">
        <f t="shared" si="0"/>
        <v>30863</v>
      </c>
      <c r="H14" s="1"/>
      <c r="I14" s="1"/>
      <c r="J14" s="1"/>
      <c r="K14" s="1"/>
    </row>
    <row r="15" spans="1:11" ht="28.5" customHeight="1">
      <c r="A15" s="18">
        <v>13</v>
      </c>
      <c r="B15" s="35" t="s">
        <v>39</v>
      </c>
      <c r="C15" s="36" t="s">
        <v>154</v>
      </c>
      <c r="D15" s="18">
        <v>89961</v>
      </c>
      <c r="E15" s="36">
        <v>86086</v>
      </c>
      <c r="F15" s="41" t="s">
        <v>40</v>
      </c>
      <c r="G15" s="1">
        <f t="shared" si="0"/>
        <v>43043</v>
      </c>
      <c r="H15" s="1"/>
      <c r="I15" s="1"/>
      <c r="J15" s="1"/>
      <c r="K15" s="1"/>
    </row>
    <row r="16" spans="1:11" ht="28.5" customHeight="1">
      <c r="A16" s="18">
        <v>14</v>
      </c>
      <c r="B16" s="35" t="s">
        <v>155</v>
      </c>
      <c r="C16" s="36" t="s">
        <v>41</v>
      </c>
      <c r="D16" s="18">
        <v>51841</v>
      </c>
      <c r="E16" s="36">
        <v>47966</v>
      </c>
      <c r="F16" s="41" t="s">
        <v>42</v>
      </c>
      <c r="G16" s="1">
        <f t="shared" si="0"/>
        <v>23983</v>
      </c>
      <c r="H16" s="1"/>
      <c r="I16" s="1"/>
      <c r="J16" s="1"/>
      <c r="K16" s="1"/>
    </row>
    <row r="17" spans="1:11" ht="28.5" customHeight="1">
      <c r="A17" s="18">
        <v>15</v>
      </c>
      <c r="B17" s="35" t="s">
        <v>156</v>
      </c>
      <c r="C17" s="36" t="s">
        <v>41</v>
      </c>
      <c r="D17" s="18">
        <v>55000</v>
      </c>
      <c r="E17" s="36">
        <v>54725</v>
      </c>
      <c r="F17" s="41" t="s">
        <v>157</v>
      </c>
      <c r="G17" s="1">
        <f t="shared" si="0"/>
        <v>27363</v>
      </c>
      <c r="H17" s="1"/>
      <c r="I17" s="1"/>
      <c r="J17" s="1"/>
      <c r="K17" s="1"/>
    </row>
    <row r="18" spans="1:11" ht="28.5" customHeight="1">
      <c r="A18" s="18">
        <v>16</v>
      </c>
      <c r="B18" s="35" t="s">
        <v>158</v>
      </c>
      <c r="C18" s="36" t="s">
        <v>41</v>
      </c>
      <c r="D18" s="18">
        <v>52000</v>
      </c>
      <c r="E18" s="36">
        <v>51725</v>
      </c>
      <c r="F18" s="18"/>
      <c r="G18" s="1">
        <f t="shared" si="0"/>
        <v>25863</v>
      </c>
      <c r="H18" s="1"/>
      <c r="I18" s="1"/>
      <c r="J18" s="1"/>
      <c r="K18" s="1"/>
    </row>
    <row r="19" spans="1:11" ht="28.5" customHeight="1">
      <c r="A19" s="18">
        <v>18</v>
      </c>
      <c r="B19" s="35" t="s">
        <v>161</v>
      </c>
      <c r="C19" s="36" t="s">
        <v>41</v>
      </c>
      <c r="D19" s="18">
        <v>60000</v>
      </c>
      <c r="E19" s="36">
        <v>59725</v>
      </c>
      <c r="F19" s="41" t="s">
        <v>162</v>
      </c>
      <c r="G19" s="1">
        <f t="shared" si="0"/>
        <v>29863</v>
      </c>
      <c r="H19" s="1"/>
      <c r="I19" s="1"/>
      <c r="J19" s="1"/>
      <c r="K19" s="1"/>
    </row>
    <row r="20" spans="1:11" ht="28.5" customHeight="1">
      <c r="A20" s="18">
        <v>19</v>
      </c>
      <c r="B20" s="35" t="s">
        <v>163</v>
      </c>
      <c r="C20" s="36" t="s">
        <v>41</v>
      </c>
      <c r="D20" s="18">
        <v>62000</v>
      </c>
      <c r="E20" s="36">
        <v>61725</v>
      </c>
      <c r="F20" s="41" t="s">
        <v>43</v>
      </c>
      <c r="G20" s="1">
        <f t="shared" si="0"/>
        <v>30863</v>
      </c>
      <c r="H20" s="1"/>
      <c r="I20" s="1"/>
      <c r="J20" s="1"/>
      <c r="K20" s="1"/>
    </row>
    <row r="21" spans="1:11" ht="28.5" customHeight="1">
      <c r="A21" s="18">
        <v>20</v>
      </c>
      <c r="B21" s="35" t="s">
        <v>164</v>
      </c>
      <c r="C21" s="36" t="s">
        <v>38</v>
      </c>
      <c r="D21" s="18">
        <v>34510</v>
      </c>
      <c r="E21" s="36">
        <v>34235</v>
      </c>
      <c r="F21" s="41" t="s">
        <v>165</v>
      </c>
      <c r="G21" s="1">
        <f t="shared" si="0"/>
        <v>17118</v>
      </c>
      <c r="H21" s="1"/>
      <c r="I21" s="1"/>
      <c r="J21" s="1"/>
      <c r="K21" s="1"/>
    </row>
    <row r="22" spans="1:11" ht="28.5" customHeight="1">
      <c r="A22" s="18">
        <v>21</v>
      </c>
      <c r="B22" s="35" t="s">
        <v>166</v>
      </c>
      <c r="C22" s="36" t="s">
        <v>38</v>
      </c>
      <c r="D22" s="18">
        <v>20000</v>
      </c>
      <c r="E22" s="36">
        <v>19775</v>
      </c>
      <c r="F22" s="41" t="s">
        <v>167</v>
      </c>
      <c r="G22" s="1">
        <f t="shared" si="0"/>
        <v>9888</v>
      </c>
      <c r="H22" s="1"/>
      <c r="I22" s="1"/>
      <c r="J22" s="1"/>
      <c r="K22" s="1"/>
    </row>
    <row r="23" spans="1:11" ht="28.5" customHeight="1">
      <c r="A23" s="18">
        <v>22</v>
      </c>
      <c r="B23" s="35" t="s">
        <v>168</v>
      </c>
      <c r="C23" s="36" t="s">
        <v>38</v>
      </c>
      <c r="D23" s="18">
        <v>35000</v>
      </c>
      <c r="E23" s="36">
        <v>34725</v>
      </c>
      <c r="F23" s="41" t="s">
        <v>169</v>
      </c>
      <c r="G23" s="1">
        <f t="shared" si="0"/>
        <v>17363</v>
      </c>
      <c r="H23" s="1"/>
      <c r="I23" s="1"/>
      <c r="J23" s="1"/>
      <c r="K23" s="1"/>
    </row>
    <row r="24" spans="1:11" ht="28.5" customHeight="1">
      <c r="A24" s="18">
        <v>24</v>
      </c>
      <c r="B24" s="35" t="s">
        <v>172</v>
      </c>
      <c r="C24" s="36" t="s">
        <v>38</v>
      </c>
      <c r="D24" s="18">
        <v>25000</v>
      </c>
      <c r="E24" s="36">
        <v>24725</v>
      </c>
      <c r="F24" s="41" t="s">
        <v>173</v>
      </c>
      <c r="G24" s="1">
        <f t="shared" si="0"/>
        <v>12363</v>
      </c>
      <c r="H24" s="1"/>
      <c r="I24" s="1"/>
      <c r="J24" s="1"/>
      <c r="K24" s="1"/>
    </row>
    <row r="25" spans="1:11" ht="28.5" customHeight="1">
      <c r="A25" s="18">
        <v>25</v>
      </c>
      <c r="B25" s="35" t="s">
        <v>45</v>
      </c>
      <c r="C25" s="36" t="s">
        <v>38</v>
      </c>
      <c r="D25" s="18">
        <v>26460</v>
      </c>
      <c r="E25" s="36">
        <v>26185</v>
      </c>
      <c r="F25" s="41" t="s">
        <v>46</v>
      </c>
      <c r="G25" s="1">
        <f t="shared" si="0"/>
        <v>13093</v>
      </c>
      <c r="H25" s="1"/>
      <c r="I25" s="1"/>
      <c r="J25" s="1"/>
      <c r="K25" s="1"/>
    </row>
    <row r="26" spans="1:11" ht="43.5" customHeight="1">
      <c r="A26" s="18">
        <v>26</v>
      </c>
      <c r="B26" s="35" t="s">
        <v>174</v>
      </c>
      <c r="C26" s="36" t="s">
        <v>175</v>
      </c>
      <c r="D26" s="18">
        <v>100000</v>
      </c>
      <c r="E26" s="36">
        <v>96125</v>
      </c>
      <c r="F26" s="38" t="s">
        <v>176</v>
      </c>
      <c r="G26" s="1">
        <f t="shared" si="0"/>
        <v>48063</v>
      </c>
      <c r="H26" s="1"/>
      <c r="I26" s="1"/>
      <c r="J26" s="1"/>
      <c r="K26" s="1"/>
    </row>
    <row r="27" spans="1:11" ht="28.5" customHeight="1">
      <c r="A27" s="18">
        <v>27</v>
      </c>
      <c r="B27" s="35" t="s">
        <v>177</v>
      </c>
      <c r="C27" s="36" t="s">
        <v>178</v>
      </c>
      <c r="D27" s="18">
        <v>65000</v>
      </c>
      <c r="E27" s="36">
        <v>64725</v>
      </c>
      <c r="F27" s="38" t="s">
        <v>179</v>
      </c>
      <c r="G27" s="1">
        <f t="shared" si="0"/>
        <v>32363</v>
      </c>
      <c r="H27" s="1"/>
      <c r="I27" s="1"/>
      <c r="J27" s="1"/>
      <c r="K27" s="1"/>
    </row>
    <row r="28" spans="1:11" ht="28.5" customHeight="1">
      <c r="A28" s="18">
        <v>28</v>
      </c>
      <c r="B28" s="35" t="s">
        <v>50</v>
      </c>
      <c r="C28" s="36" t="s">
        <v>48</v>
      </c>
      <c r="D28" s="18">
        <v>89961</v>
      </c>
      <c r="E28" s="36">
        <v>86086</v>
      </c>
      <c r="F28" s="38" t="s">
        <v>51</v>
      </c>
      <c r="G28" s="1">
        <f t="shared" si="0"/>
        <v>43043</v>
      </c>
      <c r="H28" s="1"/>
      <c r="I28" s="1"/>
      <c r="J28" s="1"/>
      <c r="K28" s="1"/>
    </row>
    <row r="29" spans="1:11" ht="28.5" customHeight="1">
      <c r="A29" s="18">
        <v>29</v>
      </c>
      <c r="B29" s="35" t="s">
        <v>180</v>
      </c>
      <c r="C29" s="36" t="s">
        <v>48</v>
      </c>
      <c r="D29" s="18">
        <v>75000</v>
      </c>
      <c r="E29" s="36">
        <v>74725</v>
      </c>
      <c r="F29" s="38" t="s">
        <v>49</v>
      </c>
      <c r="G29" s="1">
        <f t="shared" si="0"/>
        <v>37363</v>
      </c>
      <c r="H29" s="1"/>
      <c r="I29" s="1"/>
      <c r="J29" s="1"/>
      <c r="K29" s="1"/>
    </row>
    <row r="30" spans="1:11" ht="28.5" customHeight="1">
      <c r="A30" s="18">
        <v>30</v>
      </c>
      <c r="B30" s="35" t="s">
        <v>181</v>
      </c>
      <c r="C30" s="36" t="s">
        <v>113</v>
      </c>
      <c r="D30" s="18">
        <v>45000</v>
      </c>
      <c r="E30" s="36">
        <v>44725</v>
      </c>
      <c r="F30" s="38" t="s">
        <v>182</v>
      </c>
      <c r="G30" s="1">
        <f t="shared" si="0"/>
        <v>22363</v>
      </c>
      <c r="H30" s="1"/>
      <c r="I30" s="1"/>
      <c r="J30" s="1"/>
      <c r="K30" s="1"/>
    </row>
    <row r="31" spans="1:11" ht="28.5" customHeight="1">
      <c r="A31" s="18">
        <v>31</v>
      </c>
      <c r="B31" s="35" t="s">
        <v>183</v>
      </c>
      <c r="C31" s="36" t="s">
        <v>113</v>
      </c>
      <c r="D31" s="18">
        <v>55000</v>
      </c>
      <c r="E31" s="36">
        <v>54725</v>
      </c>
      <c r="F31" s="38" t="s">
        <v>184</v>
      </c>
      <c r="G31" s="1">
        <f t="shared" si="0"/>
        <v>27363</v>
      </c>
      <c r="H31" s="1"/>
      <c r="I31" s="1"/>
      <c r="J31" s="1"/>
      <c r="K31" s="1"/>
    </row>
    <row r="32" spans="1:11" ht="28.5" customHeight="1">
      <c r="A32" s="18">
        <v>32</v>
      </c>
      <c r="B32" s="35" t="s">
        <v>185</v>
      </c>
      <c r="C32" s="36" t="s">
        <v>38</v>
      </c>
      <c r="D32" s="18">
        <v>65000</v>
      </c>
      <c r="E32" s="36">
        <v>68725</v>
      </c>
      <c r="F32" s="38" t="s">
        <v>52</v>
      </c>
      <c r="G32" s="1">
        <f t="shared" si="0"/>
        <v>34363</v>
      </c>
      <c r="H32" s="1"/>
      <c r="I32" s="1"/>
      <c r="J32" s="1"/>
      <c r="K32" s="1"/>
    </row>
    <row r="33" spans="1:11" ht="28.5" customHeight="1">
      <c r="A33" s="18">
        <v>33</v>
      </c>
      <c r="B33" s="35" t="s">
        <v>54</v>
      </c>
      <c r="C33" s="36" t="s">
        <v>38</v>
      </c>
      <c r="D33" s="18">
        <v>31949</v>
      </c>
      <c r="E33" s="36">
        <v>31674</v>
      </c>
      <c r="F33" s="38" t="s">
        <v>55</v>
      </c>
      <c r="G33" s="1">
        <f t="shared" si="0"/>
        <v>15837</v>
      </c>
      <c r="H33" s="1"/>
      <c r="I33" s="1"/>
      <c r="J33" s="1"/>
      <c r="K33" s="1"/>
    </row>
    <row r="34" spans="1:11" ht="28.5" customHeight="1">
      <c r="A34" s="18">
        <v>34</v>
      </c>
      <c r="B34" s="35" t="s">
        <v>56</v>
      </c>
      <c r="C34" s="36" t="s">
        <v>38</v>
      </c>
      <c r="D34" s="18">
        <v>20000</v>
      </c>
      <c r="E34" s="36">
        <v>19775</v>
      </c>
      <c r="F34" s="38" t="s">
        <v>57</v>
      </c>
      <c r="G34" s="1">
        <f t="shared" si="0"/>
        <v>9888</v>
      </c>
      <c r="H34" s="1"/>
      <c r="I34" s="1"/>
      <c r="J34" s="1"/>
      <c r="K34" s="1"/>
    </row>
    <row r="35" spans="1:11" ht="28.5" customHeight="1">
      <c r="A35" s="18">
        <v>35</v>
      </c>
      <c r="B35" s="35" t="s">
        <v>186</v>
      </c>
      <c r="C35" s="36" t="s">
        <v>38</v>
      </c>
      <c r="D35" s="18">
        <v>25000</v>
      </c>
      <c r="E35" s="36">
        <v>24725</v>
      </c>
      <c r="F35" s="38" t="s">
        <v>187</v>
      </c>
      <c r="G35" s="1">
        <f t="shared" si="0"/>
        <v>12363</v>
      </c>
      <c r="H35" s="1"/>
      <c r="I35" s="1"/>
      <c r="J35" s="1"/>
      <c r="K35" s="1"/>
    </row>
    <row r="36" spans="1:11" ht="28.5" customHeight="1">
      <c r="A36" s="18">
        <v>36</v>
      </c>
      <c r="B36" s="35" t="s">
        <v>188</v>
      </c>
      <c r="C36" s="36" t="s">
        <v>38</v>
      </c>
      <c r="D36" s="18">
        <v>45000</v>
      </c>
      <c r="E36" s="36">
        <v>44725</v>
      </c>
      <c r="F36" s="38" t="s">
        <v>53</v>
      </c>
      <c r="G36" s="1">
        <f t="shared" si="0"/>
        <v>22363</v>
      </c>
      <c r="H36" s="1"/>
      <c r="I36" s="1"/>
      <c r="J36" s="1"/>
      <c r="K36" s="1"/>
    </row>
    <row r="37" spans="1:11" ht="28.5" customHeight="1">
      <c r="A37" s="18">
        <v>37</v>
      </c>
      <c r="B37" s="35" t="s">
        <v>189</v>
      </c>
      <c r="C37" s="36" t="s">
        <v>38</v>
      </c>
      <c r="D37" s="18">
        <v>15000</v>
      </c>
      <c r="E37" s="36">
        <v>14925</v>
      </c>
      <c r="F37" s="38" t="s">
        <v>190</v>
      </c>
      <c r="G37" s="1">
        <f t="shared" si="0"/>
        <v>7463</v>
      </c>
      <c r="H37" s="1"/>
      <c r="I37" s="1"/>
      <c r="J37" s="1"/>
      <c r="K37" s="1"/>
    </row>
    <row r="38" spans="1:11" ht="29.25" customHeight="1">
      <c r="A38" s="18">
        <v>38</v>
      </c>
      <c r="B38" s="35" t="s">
        <v>191</v>
      </c>
      <c r="C38" s="36" t="s">
        <v>38</v>
      </c>
      <c r="D38" s="18">
        <v>15000</v>
      </c>
      <c r="E38" s="36">
        <v>14925</v>
      </c>
      <c r="F38" s="38" t="s">
        <v>192</v>
      </c>
      <c r="G38" s="1">
        <f t="shared" si="0"/>
        <v>7463</v>
      </c>
      <c r="H38" s="1"/>
      <c r="I38" s="1"/>
      <c r="J38" s="1"/>
      <c r="K38" s="1"/>
    </row>
    <row r="39" spans="1:11" ht="28.5" customHeight="1">
      <c r="A39" s="18">
        <v>39</v>
      </c>
      <c r="B39" s="35" t="s">
        <v>193</v>
      </c>
      <c r="C39" s="36" t="s">
        <v>38</v>
      </c>
      <c r="D39" s="18">
        <v>60000</v>
      </c>
      <c r="E39" s="36">
        <v>59725</v>
      </c>
      <c r="F39" s="38" t="s">
        <v>47</v>
      </c>
      <c r="G39" s="1">
        <f t="shared" si="0"/>
        <v>29863</v>
      </c>
      <c r="H39" s="1"/>
      <c r="I39" s="1"/>
      <c r="J39" s="1"/>
      <c r="K39" s="1"/>
    </row>
    <row r="40" spans="1:11" ht="28.5" customHeight="1">
      <c r="A40" s="18">
        <v>40</v>
      </c>
      <c r="B40" s="35" t="s">
        <v>194</v>
      </c>
      <c r="C40" s="36" t="s">
        <v>38</v>
      </c>
      <c r="D40" s="18">
        <v>25000</v>
      </c>
      <c r="E40" s="36">
        <v>24725</v>
      </c>
      <c r="F40" s="38" t="s">
        <v>195</v>
      </c>
      <c r="G40" s="1">
        <f t="shared" si="0"/>
        <v>12363</v>
      </c>
      <c r="H40" s="1"/>
      <c r="I40" s="1"/>
      <c r="J40" s="1"/>
      <c r="K40" s="1"/>
    </row>
    <row r="41" spans="1:11" ht="28.5" customHeight="1">
      <c r="A41" s="18">
        <v>41</v>
      </c>
      <c r="B41" s="35" t="s">
        <v>196</v>
      </c>
      <c r="C41" s="36" t="s">
        <v>38</v>
      </c>
      <c r="D41" s="18">
        <v>25000</v>
      </c>
      <c r="E41" s="36">
        <v>24725</v>
      </c>
      <c r="F41" s="38" t="s">
        <v>197</v>
      </c>
      <c r="G41" s="1">
        <f t="shared" si="0"/>
        <v>12363</v>
      </c>
      <c r="H41" s="1"/>
      <c r="I41" s="1"/>
      <c r="J41" s="1"/>
      <c r="K41" s="1"/>
    </row>
    <row r="42" spans="1:11" ht="28.5" customHeight="1">
      <c r="A42" s="18">
        <v>42</v>
      </c>
      <c r="B42" s="35" t="s">
        <v>58</v>
      </c>
      <c r="C42" s="36" t="s">
        <v>38</v>
      </c>
      <c r="D42" s="18">
        <v>25000</v>
      </c>
      <c r="E42" s="36">
        <v>24725</v>
      </c>
      <c r="F42" s="38" t="s">
        <v>59</v>
      </c>
      <c r="G42" s="1">
        <f t="shared" si="0"/>
        <v>12363</v>
      </c>
      <c r="H42" s="1"/>
      <c r="I42" s="1"/>
      <c r="J42" s="1"/>
      <c r="K42" s="1"/>
    </row>
    <row r="43" spans="1:11" ht="28.5" customHeight="1">
      <c r="A43" s="18">
        <v>43</v>
      </c>
      <c r="B43" s="35" t="s">
        <v>198</v>
      </c>
      <c r="C43" s="36" t="s">
        <v>108</v>
      </c>
      <c r="D43" s="18">
        <v>80000</v>
      </c>
      <c r="E43" s="36">
        <v>79725</v>
      </c>
      <c r="F43" s="41" t="s">
        <v>199</v>
      </c>
      <c r="G43" s="1">
        <f t="shared" si="0"/>
        <v>39863</v>
      </c>
      <c r="H43" s="1"/>
      <c r="I43" s="1"/>
      <c r="J43" s="1"/>
      <c r="K43" s="1"/>
    </row>
    <row r="44" spans="1:11" ht="28.5" customHeight="1">
      <c r="A44" s="18">
        <v>45</v>
      </c>
      <c r="B44" s="37" t="s">
        <v>202</v>
      </c>
      <c r="C44" s="36" t="s">
        <v>41</v>
      </c>
      <c r="D44" s="18">
        <v>50000</v>
      </c>
      <c r="E44" s="36">
        <v>49725</v>
      </c>
      <c r="F44" s="41" t="s">
        <v>203</v>
      </c>
      <c r="G44" s="1">
        <f t="shared" si="0"/>
        <v>24863</v>
      </c>
      <c r="H44" s="1"/>
      <c r="I44" s="1"/>
      <c r="J44" s="1"/>
      <c r="K44" s="1"/>
    </row>
    <row r="45" spans="1:11" ht="28.5" customHeight="1">
      <c r="A45" s="18">
        <v>46</v>
      </c>
      <c r="B45" s="37" t="s">
        <v>204</v>
      </c>
      <c r="C45" s="36" t="s">
        <v>41</v>
      </c>
      <c r="D45" s="18">
        <v>50000</v>
      </c>
      <c r="E45" s="36">
        <v>49725</v>
      </c>
      <c r="F45" s="41" t="s">
        <v>205</v>
      </c>
      <c r="G45" s="1">
        <f t="shared" si="0"/>
        <v>24863</v>
      </c>
      <c r="H45" s="1"/>
      <c r="I45" s="1"/>
      <c r="J45" s="1"/>
      <c r="K45" s="1"/>
    </row>
    <row r="46" spans="1:11" ht="28.5" customHeight="1">
      <c r="A46" s="18">
        <v>48</v>
      </c>
      <c r="B46" s="35" t="s">
        <v>63</v>
      </c>
      <c r="C46" s="36" t="s">
        <v>41</v>
      </c>
      <c r="D46" s="18">
        <v>46559</v>
      </c>
      <c r="E46" s="36">
        <v>42684</v>
      </c>
      <c r="F46" s="41" t="s">
        <v>64</v>
      </c>
      <c r="G46" s="1">
        <f t="shared" si="0"/>
        <v>21342</v>
      </c>
      <c r="H46" s="1"/>
      <c r="I46" s="1"/>
      <c r="J46" s="1"/>
      <c r="K46" s="1"/>
    </row>
    <row r="47" spans="1:11" ht="28.5" customHeight="1">
      <c r="A47" s="18">
        <v>49</v>
      </c>
      <c r="B47" s="35" t="s">
        <v>65</v>
      </c>
      <c r="C47" s="36" t="s">
        <v>41</v>
      </c>
      <c r="D47" s="18">
        <v>40548</v>
      </c>
      <c r="E47" s="36">
        <v>36673</v>
      </c>
      <c r="F47" s="41" t="s">
        <v>66</v>
      </c>
      <c r="G47" s="1">
        <f t="shared" si="0"/>
        <v>18337</v>
      </c>
      <c r="H47" s="1"/>
      <c r="I47" s="1"/>
      <c r="J47" s="1"/>
      <c r="K47" s="1"/>
    </row>
    <row r="48" spans="1:11" ht="28.5" customHeight="1">
      <c r="A48" s="18">
        <v>50</v>
      </c>
      <c r="B48" s="35" t="s">
        <v>207</v>
      </c>
      <c r="C48" s="36" t="s">
        <v>41</v>
      </c>
      <c r="D48" s="18">
        <v>36045</v>
      </c>
      <c r="E48" s="36">
        <v>36170</v>
      </c>
      <c r="F48" s="41" t="s">
        <v>208</v>
      </c>
      <c r="G48" s="1">
        <f t="shared" si="0"/>
        <v>18085</v>
      </c>
      <c r="H48" s="1"/>
      <c r="I48" s="1"/>
      <c r="J48" s="1"/>
      <c r="K48" s="1"/>
    </row>
    <row r="49" spans="1:11" ht="28.5" customHeight="1">
      <c r="A49" s="18">
        <v>52</v>
      </c>
      <c r="B49" s="35" t="s">
        <v>211</v>
      </c>
      <c r="C49" s="36" t="s">
        <v>41</v>
      </c>
      <c r="D49" s="18">
        <v>45000</v>
      </c>
      <c r="E49" s="36">
        <v>44725</v>
      </c>
      <c r="F49" s="41" t="s">
        <v>212</v>
      </c>
      <c r="G49" s="1">
        <f t="shared" si="0"/>
        <v>22363</v>
      </c>
      <c r="H49" s="1"/>
      <c r="I49" s="1"/>
      <c r="J49" s="1"/>
      <c r="K49" s="1"/>
    </row>
    <row r="50" spans="1:11" ht="28.5" customHeight="1">
      <c r="A50" s="18">
        <v>53</v>
      </c>
      <c r="B50" s="35" t="s">
        <v>213</v>
      </c>
      <c r="C50" s="36" t="s">
        <v>44</v>
      </c>
      <c r="D50" s="18">
        <v>20000</v>
      </c>
      <c r="E50" s="36">
        <v>19775</v>
      </c>
      <c r="F50" s="41" t="s">
        <v>214</v>
      </c>
      <c r="G50" s="1">
        <f t="shared" si="0"/>
        <v>9888</v>
      </c>
      <c r="H50" s="1"/>
      <c r="I50" s="1"/>
      <c r="J50" s="1"/>
      <c r="K50" s="1"/>
    </row>
    <row r="51" spans="1:11" ht="28.5" customHeight="1">
      <c r="A51" s="18">
        <v>54</v>
      </c>
      <c r="B51" s="35" t="s">
        <v>215</v>
      </c>
      <c r="C51" s="36" t="s">
        <v>38</v>
      </c>
      <c r="D51" s="18">
        <v>34510</v>
      </c>
      <c r="E51" s="36">
        <v>34235</v>
      </c>
      <c r="F51" s="41" t="s">
        <v>216</v>
      </c>
      <c r="G51" s="1">
        <f t="shared" si="0"/>
        <v>17118</v>
      </c>
      <c r="H51" s="1"/>
      <c r="I51" s="1"/>
      <c r="J51" s="1"/>
      <c r="K51" s="1"/>
    </row>
    <row r="52" spans="1:11" ht="28.5" customHeight="1">
      <c r="A52" s="18">
        <v>55</v>
      </c>
      <c r="B52" s="35" t="s">
        <v>217</v>
      </c>
      <c r="C52" s="36" t="s">
        <v>38</v>
      </c>
      <c r="D52" s="18">
        <v>65000</v>
      </c>
      <c r="E52" s="36">
        <v>64725</v>
      </c>
      <c r="F52" s="41" t="s">
        <v>61</v>
      </c>
      <c r="G52" s="1">
        <f t="shared" si="0"/>
        <v>32363</v>
      </c>
      <c r="H52" s="1"/>
      <c r="I52" s="1"/>
      <c r="J52" s="1"/>
      <c r="K52" s="1"/>
    </row>
    <row r="53" spans="1:11" ht="28.5" customHeight="1">
      <c r="A53" s="18">
        <v>56</v>
      </c>
      <c r="B53" s="35" t="s">
        <v>218</v>
      </c>
      <c r="C53" s="36" t="s">
        <v>38</v>
      </c>
      <c r="D53" s="18">
        <v>23000</v>
      </c>
      <c r="E53" s="36">
        <v>22725</v>
      </c>
      <c r="F53" s="41" t="s">
        <v>219</v>
      </c>
      <c r="G53" s="1">
        <f t="shared" si="0"/>
        <v>11363</v>
      </c>
      <c r="H53" s="1"/>
      <c r="I53" s="1"/>
      <c r="J53" s="1"/>
      <c r="K53" s="1"/>
    </row>
    <row r="54" spans="1:11" ht="28.5" customHeight="1">
      <c r="A54" s="18">
        <v>58</v>
      </c>
      <c r="B54" s="35" t="s">
        <v>221</v>
      </c>
      <c r="C54" s="36" t="s">
        <v>38</v>
      </c>
      <c r="D54" s="18">
        <v>33460</v>
      </c>
      <c r="E54" s="36">
        <v>33185</v>
      </c>
      <c r="F54" s="41" t="s">
        <v>222</v>
      </c>
      <c r="G54" s="1">
        <f t="shared" si="0"/>
        <v>16593</v>
      </c>
      <c r="H54" s="1"/>
      <c r="I54" s="1"/>
      <c r="J54" s="1"/>
      <c r="K54" s="1"/>
    </row>
    <row r="55" spans="1:11" ht="28.5" customHeight="1">
      <c r="A55" s="18">
        <v>59</v>
      </c>
      <c r="B55" s="35" t="s">
        <v>223</v>
      </c>
      <c r="C55" s="36" t="s">
        <v>38</v>
      </c>
      <c r="D55" s="18">
        <v>17000</v>
      </c>
      <c r="E55" s="36">
        <v>16775</v>
      </c>
      <c r="F55" s="41" t="s">
        <v>224</v>
      </c>
      <c r="G55" s="1">
        <f t="shared" si="0"/>
        <v>8388</v>
      </c>
      <c r="H55" s="1"/>
      <c r="I55" s="1"/>
      <c r="J55" s="1"/>
      <c r="K55" s="1"/>
    </row>
    <row r="56" spans="1:11" ht="28.5" customHeight="1">
      <c r="A56" s="18">
        <v>60</v>
      </c>
      <c r="B56" s="35" t="s">
        <v>225</v>
      </c>
      <c r="C56" s="36" t="s">
        <v>38</v>
      </c>
      <c r="D56" s="18">
        <v>75000</v>
      </c>
      <c r="E56" s="36">
        <v>74725</v>
      </c>
      <c r="F56" s="41" t="s">
        <v>226</v>
      </c>
      <c r="G56" s="1">
        <f t="shared" si="0"/>
        <v>37363</v>
      </c>
      <c r="H56" s="1"/>
      <c r="I56" s="1"/>
      <c r="J56" s="1"/>
      <c r="K56" s="1"/>
    </row>
    <row r="57" spans="1:11" ht="28.5" customHeight="1">
      <c r="A57" s="18">
        <v>61</v>
      </c>
      <c r="B57" s="35" t="s">
        <v>227</v>
      </c>
      <c r="C57" s="36" t="s">
        <v>38</v>
      </c>
      <c r="D57" s="18">
        <v>18000</v>
      </c>
      <c r="E57" s="36">
        <v>17775</v>
      </c>
      <c r="F57" s="41" t="s">
        <v>228</v>
      </c>
      <c r="G57" s="1">
        <f t="shared" si="0"/>
        <v>8888</v>
      </c>
      <c r="H57" s="1"/>
      <c r="I57" s="1"/>
      <c r="J57" s="1"/>
      <c r="K57" s="1"/>
    </row>
    <row r="58" spans="1:11" ht="28.5" customHeight="1">
      <c r="A58" s="18">
        <v>62</v>
      </c>
      <c r="B58" s="35" t="s">
        <v>229</v>
      </c>
      <c r="C58" s="36" t="s">
        <v>38</v>
      </c>
      <c r="D58" s="18">
        <v>50000</v>
      </c>
      <c r="E58" s="36">
        <v>49725</v>
      </c>
      <c r="F58" s="41" t="s">
        <v>230</v>
      </c>
      <c r="G58" s="1">
        <f t="shared" si="0"/>
        <v>24863</v>
      </c>
      <c r="H58" s="1"/>
      <c r="I58" s="1"/>
      <c r="J58" s="1"/>
      <c r="K58" s="1"/>
    </row>
    <row r="59" spans="1:11" ht="28.5" customHeight="1">
      <c r="A59" s="18">
        <v>63</v>
      </c>
      <c r="B59" s="35" t="s">
        <v>231</v>
      </c>
      <c r="C59" s="36" t="s">
        <v>38</v>
      </c>
      <c r="D59" s="18">
        <v>31460</v>
      </c>
      <c r="E59" s="36">
        <v>31185</v>
      </c>
      <c r="F59" s="41" t="s">
        <v>62</v>
      </c>
      <c r="G59" s="1">
        <f t="shared" si="0"/>
        <v>15593</v>
      </c>
      <c r="H59" s="1"/>
      <c r="I59" s="1"/>
      <c r="J59" s="1"/>
      <c r="K59" s="1"/>
    </row>
    <row r="60" spans="1:11" ht="28.5" customHeight="1">
      <c r="A60" s="18">
        <v>64</v>
      </c>
      <c r="B60" s="35" t="s">
        <v>232</v>
      </c>
      <c r="C60" s="36" t="s">
        <v>38</v>
      </c>
      <c r="D60" s="18">
        <v>65000</v>
      </c>
      <c r="E60" s="36">
        <v>64725</v>
      </c>
      <c r="F60" s="41" t="s">
        <v>233</v>
      </c>
      <c r="G60" s="1">
        <f t="shared" si="0"/>
        <v>32363</v>
      </c>
      <c r="H60" s="1"/>
      <c r="I60" s="1"/>
      <c r="J60" s="1"/>
      <c r="K60" s="1"/>
    </row>
    <row r="61" spans="1:11" ht="28.5" customHeight="1">
      <c r="A61" s="18">
        <v>65</v>
      </c>
      <c r="B61" s="35" t="s">
        <v>234</v>
      </c>
      <c r="C61" s="36" t="s">
        <v>38</v>
      </c>
      <c r="D61" s="18">
        <v>15000</v>
      </c>
      <c r="E61" s="36">
        <v>14970</v>
      </c>
      <c r="F61" s="41" t="s">
        <v>67</v>
      </c>
      <c r="G61" s="1">
        <f t="shared" si="0"/>
        <v>7485</v>
      </c>
      <c r="H61" s="1"/>
      <c r="I61" s="1"/>
      <c r="J61" s="1"/>
      <c r="K61" s="1"/>
    </row>
    <row r="62" spans="1:11" ht="28.5" customHeight="1">
      <c r="A62" s="18">
        <v>66</v>
      </c>
      <c r="B62" s="35" t="s">
        <v>235</v>
      </c>
      <c r="C62" s="36" t="s">
        <v>38</v>
      </c>
      <c r="D62" s="18">
        <v>15000</v>
      </c>
      <c r="E62" s="36">
        <v>13170</v>
      </c>
      <c r="F62" s="41" t="s">
        <v>236</v>
      </c>
      <c r="G62" s="1">
        <f t="shared" si="0"/>
        <v>6585</v>
      </c>
      <c r="H62" s="1"/>
      <c r="I62" s="1"/>
      <c r="J62" s="1"/>
      <c r="K62" s="1"/>
    </row>
    <row r="63" spans="1:11" ht="28.5" customHeight="1">
      <c r="A63" s="18">
        <v>67</v>
      </c>
      <c r="B63" s="35" t="s">
        <v>237</v>
      </c>
      <c r="C63" s="36" t="s">
        <v>38</v>
      </c>
      <c r="D63" s="18">
        <v>25000</v>
      </c>
      <c r="E63" s="36">
        <v>24725</v>
      </c>
      <c r="F63" s="41" t="s">
        <v>238</v>
      </c>
      <c r="G63" s="1">
        <f t="shared" si="0"/>
        <v>12363</v>
      </c>
      <c r="H63" s="1"/>
      <c r="I63" s="1"/>
      <c r="J63" s="1"/>
      <c r="K63" s="1"/>
    </row>
    <row r="64" spans="1:11" ht="28.5" customHeight="1">
      <c r="A64" s="18">
        <v>68</v>
      </c>
      <c r="B64" s="35" t="s">
        <v>239</v>
      </c>
      <c r="C64" s="36" t="s">
        <v>33</v>
      </c>
      <c r="D64" s="18">
        <v>40395</v>
      </c>
      <c r="E64" s="36">
        <v>36520</v>
      </c>
      <c r="F64" s="41" t="s">
        <v>69</v>
      </c>
      <c r="G64" s="1">
        <f t="shared" si="0"/>
        <v>18260</v>
      </c>
      <c r="H64" s="1"/>
      <c r="I64" s="1"/>
      <c r="J64" s="1"/>
      <c r="K64" s="1"/>
    </row>
    <row r="65" spans="1:11" ht="28.5" customHeight="1">
      <c r="A65" s="18">
        <v>69</v>
      </c>
      <c r="B65" s="35" t="s">
        <v>240</v>
      </c>
      <c r="C65" s="36" t="s">
        <v>41</v>
      </c>
      <c r="D65" s="18">
        <v>49126</v>
      </c>
      <c r="E65" s="36">
        <v>45251</v>
      </c>
      <c r="F65" s="41" t="s">
        <v>89</v>
      </c>
      <c r="G65" s="1">
        <f t="shared" si="0"/>
        <v>22626</v>
      </c>
      <c r="H65" s="1"/>
      <c r="I65" s="1"/>
      <c r="J65" s="1"/>
      <c r="K65" s="1"/>
    </row>
    <row r="66" spans="1:11" ht="28.5" customHeight="1">
      <c r="A66" s="18">
        <v>70</v>
      </c>
      <c r="B66" s="35" t="s">
        <v>241</v>
      </c>
      <c r="C66" s="36" t="s">
        <v>41</v>
      </c>
      <c r="D66" s="18">
        <v>50000</v>
      </c>
      <c r="E66" s="36">
        <v>49725</v>
      </c>
      <c r="F66" s="41" t="s">
        <v>242</v>
      </c>
      <c r="G66" s="1">
        <f t="shared" si="0"/>
        <v>24863</v>
      </c>
      <c r="H66" s="1"/>
      <c r="I66" s="1"/>
      <c r="J66" s="1"/>
      <c r="K66" s="1"/>
    </row>
    <row r="67" spans="1:11" ht="28.5" customHeight="1">
      <c r="A67" s="18">
        <v>72</v>
      </c>
      <c r="B67" s="35" t="s">
        <v>244</v>
      </c>
      <c r="C67" s="36" t="s">
        <v>41</v>
      </c>
      <c r="D67" s="18">
        <v>75000</v>
      </c>
      <c r="E67" s="36">
        <v>74725</v>
      </c>
      <c r="F67" s="41" t="s">
        <v>245</v>
      </c>
      <c r="G67" s="1">
        <f t="shared" si="0"/>
        <v>37363</v>
      </c>
      <c r="H67" s="1"/>
      <c r="I67" s="1"/>
      <c r="J67" s="1"/>
      <c r="K67" s="1"/>
    </row>
    <row r="68" spans="1:11" ht="28.5" customHeight="1">
      <c r="A68" s="18">
        <v>73</v>
      </c>
      <c r="B68" s="35" t="s">
        <v>246</v>
      </c>
      <c r="C68" s="36" t="s">
        <v>41</v>
      </c>
      <c r="D68" s="18">
        <v>50000</v>
      </c>
      <c r="E68" s="36">
        <v>49725</v>
      </c>
      <c r="F68" s="41" t="s">
        <v>247</v>
      </c>
      <c r="G68" s="1">
        <f t="shared" si="0"/>
        <v>24863</v>
      </c>
      <c r="H68" s="1"/>
      <c r="I68" s="1"/>
      <c r="J68" s="1"/>
      <c r="K68" s="1"/>
    </row>
    <row r="69" spans="1:11" ht="28.5" customHeight="1">
      <c r="A69" s="18">
        <v>74</v>
      </c>
      <c r="B69" s="35" t="s">
        <v>248</v>
      </c>
      <c r="C69" s="36" t="s">
        <v>38</v>
      </c>
      <c r="D69" s="18">
        <v>17000</v>
      </c>
      <c r="E69" s="36">
        <v>20725</v>
      </c>
      <c r="F69" s="41" t="s">
        <v>249</v>
      </c>
      <c r="G69" s="1">
        <f t="shared" si="0"/>
        <v>10363</v>
      </c>
      <c r="H69" s="1"/>
      <c r="I69" s="1"/>
      <c r="J69" s="1"/>
      <c r="K69" s="1"/>
    </row>
    <row r="70" spans="1:11" ht="28.5" customHeight="1">
      <c r="A70" s="18">
        <v>76</v>
      </c>
      <c r="B70" s="35" t="s">
        <v>252</v>
      </c>
      <c r="C70" s="36" t="s">
        <v>38</v>
      </c>
      <c r="D70" s="18">
        <v>30000</v>
      </c>
      <c r="E70" s="36">
        <v>29725</v>
      </c>
      <c r="F70" s="41" t="s">
        <v>253</v>
      </c>
      <c r="G70" s="1">
        <f t="shared" si="0"/>
        <v>14863</v>
      </c>
      <c r="H70" s="1"/>
      <c r="I70" s="1"/>
      <c r="J70" s="1"/>
      <c r="K70" s="1"/>
    </row>
    <row r="71" spans="1:11" ht="28.5" customHeight="1">
      <c r="A71" s="18">
        <v>77</v>
      </c>
      <c r="B71" s="35" t="s">
        <v>254</v>
      </c>
      <c r="C71" s="36" t="s">
        <v>38</v>
      </c>
      <c r="D71" s="18">
        <v>32000</v>
      </c>
      <c r="E71" s="36">
        <v>31725</v>
      </c>
      <c r="F71" s="41" t="s">
        <v>255</v>
      </c>
      <c r="G71" s="1">
        <f t="shared" si="0"/>
        <v>15863</v>
      </c>
      <c r="H71" s="1"/>
      <c r="I71" s="1"/>
      <c r="J71" s="1"/>
      <c r="K71" s="1"/>
    </row>
    <row r="72" spans="1:11" ht="28.5" customHeight="1">
      <c r="A72" s="18">
        <v>79</v>
      </c>
      <c r="B72" s="35" t="s">
        <v>258</v>
      </c>
      <c r="C72" s="36" t="s">
        <v>38</v>
      </c>
      <c r="D72" s="18">
        <v>35000</v>
      </c>
      <c r="E72" s="36">
        <v>34725</v>
      </c>
      <c r="F72" s="41" t="s">
        <v>259</v>
      </c>
      <c r="G72" s="1">
        <f t="shared" si="0"/>
        <v>17363</v>
      </c>
      <c r="H72" s="1"/>
      <c r="I72" s="1"/>
      <c r="J72" s="1"/>
      <c r="K72" s="1"/>
    </row>
    <row r="73" spans="1:11" ht="28.5" customHeight="1">
      <c r="A73" s="18">
        <v>80</v>
      </c>
      <c r="B73" s="35" t="s">
        <v>260</v>
      </c>
      <c r="C73" s="36" t="s">
        <v>261</v>
      </c>
      <c r="D73" s="18">
        <v>52000</v>
      </c>
      <c r="E73" s="36">
        <v>51770</v>
      </c>
      <c r="F73" s="41" t="s">
        <v>262</v>
      </c>
      <c r="G73" s="1">
        <f t="shared" si="0"/>
        <v>25885</v>
      </c>
      <c r="H73" s="1"/>
      <c r="I73" s="1"/>
      <c r="J73" s="1"/>
      <c r="K73" s="1"/>
    </row>
    <row r="74" spans="1:11" ht="28.5" customHeight="1">
      <c r="A74" s="18">
        <v>81</v>
      </c>
      <c r="B74" s="35" t="s">
        <v>263</v>
      </c>
      <c r="C74" s="36" t="s">
        <v>38</v>
      </c>
      <c r="D74" s="18">
        <v>29000</v>
      </c>
      <c r="E74" s="36">
        <v>28770</v>
      </c>
      <c r="F74" s="41" t="s">
        <v>264</v>
      </c>
      <c r="G74" s="1">
        <f t="shared" si="0"/>
        <v>14385</v>
      </c>
      <c r="H74" s="1"/>
      <c r="I74" s="1"/>
      <c r="J74" s="1"/>
      <c r="K74" s="1"/>
    </row>
    <row r="75" spans="1:11" ht="28.5" customHeight="1">
      <c r="A75" s="18">
        <v>82</v>
      </c>
      <c r="B75" s="35" t="s">
        <v>265</v>
      </c>
      <c r="C75" s="36" t="s">
        <v>38</v>
      </c>
      <c r="D75" s="18">
        <v>15000</v>
      </c>
      <c r="E75" s="36">
        <v>14970</v>
      </c>
      <c r="F75" s="41" t="s">
        <v>266</v>
      </c>
      <c r="G75" s="1">
        <f t="shared" si="0"/>
        <v>7485</v>
      </c>
      <c r="H75" s="1"/>
      <c r="I75" s="1"/>
      <c r="J75" s="1"/>
      <c r="K75" s="1"/>
    </row>
    <row r="76" spans="1:11" ht="28.5" customHeight="1">
      <c r="A76" s="18">
        <v>83</v>
      </c>
      <c r="B76" s="35" t="s">
        <v>267</v>
      </c>
      <c r="C76" s="36" t="s">
        <v>38</v>
      </c>
      <c r="D76" s="18">
        <v>50000</v>
      </c>
      <c r="E76" s="36">
        <v>49770</v>
      </c>
      <c r="F76" s="41" t="s">
        <v>268</v>
      </c>
      <c r="G76" s="1">
        <f t="shared" si="0"/>
        <v>24885</v>
      </c>
      <c r="H76" s="1"/>
      <c r="I76" s="1"/>
      <c r="J76" s="1"/>
      <c r="K76" s="1"/>
    </row>
    <row r="77" spans="1:11" ht="28.5" customHeight="1">
      <c r="A77" s="18">
        <v>84</v>
      </c>
      <c r="B77" s="35" t="s">
        <v>269</v>
      </c>
      <c r="C77" s="36" t="s">
        <v>38</v>
      </c>
      <c r="D77" s="18">
        <v>16000</v>
      </c>
      <c r="E77" s="36">
        <v>15820</v>
      </c>
      <c r="F77" s="41" t="s">
        <v>270</v>
      </c>
      <c r="G77" s="1">
        <f t="shared" si="0"/>
        <v>7910</v>
      </c>
      <c r="H77" s="1"/>
      <c r="I77" s="1"/>
      <c r="J77" s="1"/>
      <c r="K77" s="1"/>
    </row>
    <row r="78" spans="1:11" ht="28.5" customHeight="1">
      <c r="A78" s="18">
        <v>85</v>
      </c>
      <c r="B78" s="35" t="s">
        <v>271</v>
      </c>
      <c r="C78" s="36" t="s">
        <v>38</v>
      </c>
      <c r="D78" s="18">
        <v>12000</v>
      </c>
      <c r="E78" s="36">
        <v>11925</v>
      </c>
      <c r="F78" s="41" t="s">
        <v>272</v>
      </c>
      <c r="G78" s="1">
        <f t="shared" si="0"/>
        <v>5963</v>
      </c>
      <c r="H78" s="1"/>
      <c r="I78" s="1"/>
      <c r="J78" s="1"/>
      <c r="K78" s="1"/>
    </row>
    <row r="79" spans="1:11" ht="28.5" customHeight="1">
      <c r="A79" s="18">
        <v>88</v>
      </c>
      <c r="B79" s="35" t="s">
        <v>277</v>
      </c>
      <c r="C79" s="36" t="s">
        <v>48</v>
      </c>
      <c r="D79" s="18">
        <v>65000</v>
      </c>
      <c r="E79" s="36">
        <v>64725</v>
      </c>
      <c r="F79" s="41" t="s">
        <v>278</v>
      </c>
      <c r="G79" s="1">
        <f t="shared" si="0"/>
        <v>32363</v>
      </c>
      <c r="H79" s="1"/>
      <c r="I79" s="1"/>
      <c r="J79" s="1"/>
      <c r="K79" s="1"/>
    </row>
    <row r="80" spans="1:11" ht="28.5" customHeight="1">
      <c r="A80" s="18">
        <v>89</v>
      </c>
      <c r="B80" s="35" t="s">
        <v>279</v>
      </c>
      <c r="C80" s="36" t="s">
        <v>44</v>
      </c>
      <c r="D80" s="18">
        <v>35000</v>
      </c>
      <c r="E80" s="36">
        <v>34725</v>
      </c>
      <c r="F80" s="41" t="s">
        <v>280</v>
      </c>
      <c r="G80" s="1">
        <f t="shared" si="0"/>
        <v>17363</v>
      </c>
      <c r="H80" s="1"/>
      <c r="I80" s="1"/>
      <c r="J80" s="1"/>
      <c r="K80" s="1"/>
    </row>
    <row r="81" spans="1:11" ht="28.5" customHeight="1">
      <c r="A81" s="18">
        <v>90</v>
      </c>
      <c r="B81" s="35" t="s">
        <v>281</v>
      </c>
      <c r="C81" s="36" t="s">
        <v>44</v>
      </c>
      <c r="D81" s="18">
        <v>45000</v>
      </c>
      <c r="E81" s="36">
        <v>44725</v>
      </c>
      <c r="F81" s="41" t="s">
        <v>282</v>
      </c>
      <c r="G81" s="1">
        <f t="shared" si="0"/>
        <v>22363</v>
      </c>
      <c r="H81" s="1"/>
      <c r="I81" s="1"/>
      <c r="J81" s="1"/>
      <c r="K81" s="1"/>
    </row>
    <row r="82" spans="1:11" ht="28.5" customHeight="1">
      <c r="A82" s="18">
        <v>91</v>
      </c>
      <c r="B82" s="35" t="s">
        <v>283</v>
      </c>
      <c r="C82" s="36" t="s">
        <v>44</v>
      </c>
      <c r="D82" s="18">
        <v>35000</v>
      </c>
      <c r="E82" s="36">
        <v>34725</v>
      </c>
      <c r="F82" s="41" t="s">
        <v>284</v>
      </c>
      <c r="G82" s="1">
        <f t="shared" si="0"/>
        <v>17363</v>
      </c>
      <c r="H82" s="1"/>
      <c r="I82" s="1"/>
      <c r="J82" s="1"/>
      <c r="K82" s="1"/>
    </row>
    <row r="83" spans="1:11" ht="28.5" customHeight="1">
      <c r="A83" s="18">
        <v>94</v>
      </c>
      <c r="B83" s="35" t="s">
        <v>289</v>
      </c>
      <c r="C83" s="36" t="s">
        <v>44</v>
      </c>
      <c r="D83" s="18">
        <v>50000</v>
      </c>
      <c r="E83" s="36">
        <v>49725</v>
      </c>
      <c r="F83" s="41" t="s">
        <v>290</v>
      </c>
      <c r="G83" s="1">
        <f t="shared" si="0"/>
        <v>24863</v>
      </c>
      <c r="H83" s="1"/>
      <c r="I83" s="1"/>
      <c r="J83" s="1"/>
      <c r="K83" s="1"/>
    </row>
    <row r="84" spans="1:11" ht="28.5" customHeight="1">
      <c r="A84" s="18">
        <v>95</v>
      </c>
      <c r="B84" s="35" t="s">
        <v>291</v>
      </c>
      <c r="C84" s="36" t="s">
        <v>33</v>
      </c>
      <c r="D84" s="18">
        <v>75085</v>
      </c>
      <c r="E84" s="36">
        <v>74810</v>
      </c>
      <c r="F84" s="41" t="s">
        <v>91</v>
      </c>
      <c r="G84" s="1">
        <f t="shared" si="0"/>
        <v>37405</v>
      </c>
      <c r="H84" s="1"/>
      <c r="I84" s="1"/>
      <c r="J84" s="1"/>
      <c r="K84" s="1"/>
    </row>
    <row r="85" spans="1:11" ht="28.5" customHeight="1">
      <c r="A85" s="18">
        <v>96</v>
      </c>
      <c r="B85" s="35" t="s">
        <v>292</v>
      </c>
      <c r="C85" s="36" t="s">
        <v>293</v>
      </c>
      <c r="D85" s="18">
        <v>35000</v>
      </c>
      <c r="E85" s="36">
        <v>34725</v>
      </c>
      <c r="F85" s="41" t="s">
        <v>294</v>
      </c>
      <c r="G85" s="1">
        <f t="shared" si="0"/>
        <v>17363</v>
      </c>
      <c r="H85" s="1"/>
      <c r="I85" s="1"/>
      <c r="J85" s="1"/>
      <c r="K85" s="1"/>
    </row>
    <row r="86" spans="1:11" ht="28.5" customHeight="1">
      <c r="A86" s="18">
        <v>97</v>
      </c>
      <c r="B86" s="35" t="s">
        <v>295</v>
      </c>
      <c r="C86" s="36" t="s">
        <v>38</v>
      </c>
      <c r="D86" s="18">
        <v>20000</v>
      </c>
      <c r="E86" s="36">
        <v>19775</v>
      </c>
      <c r="F86" s="41" t="s">
        <v>296</v>
      </c>
      <c r="G86" s="1">
        <f t="shared" si="0"/>
        <v>9888</v>
      </c>
      <c r="H86" s="1"/>
      <c r="I86" s="1"/>
      <c r="J86" s="1"/>
      <c r="K86" s="1"/>
    </row>
    <row r="87" spans="1:11" ht="28.5" customHeight="1">
      <c r="A87" s="18">
        <v>100</v>
      </c>
      <c r="B87" s="35" t="s">
        <v>92</v>
      </c>
      <c r="C87" s="36" t="s">
        <v>301</v>
      </c>
      <c r="D87" s="36">
        <v>74994</v>
      </c>
      <c r="E87" s="36">
        <v>71119</v>
      </c>
      <c r="F87" s="41" t="s">
        <v>302</v>
      </c>
      <c r="G87" s="1">
        <f t="shared" si="0"/>
        <v>35560</v>
      </c>
      <c r="H87" s="1"/>
      <c r="I87" s="1"/>
      <c r="J87" s="1"/>
      <c r="K87" s="1"/>
    </row>
    <row r="88" spans="1:11" ht="28.5" customHeight="1">
      <c r="A88" s="18">
        <v>101</v>
      </c>
      <c r="B88" s="35" t="s">
        <v>93</v>
      </c>
      <c r="C88" s="36" t="s">
        <v>41</v>
      </c>
      <c r="D88" s="18">
        <v>32905</v>
      </c>
      <c r="E88" s="36">
        <v>32630</v>
      </c>
      <c r="F88" s="41" t="s">
        <v>94</v>
      </c>
      <c r="G88" s="1">
        <f t="shared" si="0"/>
        <v>16315</v>
      </c>
      <c r="H88" s="1"/>
      <c r="I88" s="1"/>
      <c r="J88" s="1"/>
      <c r="K88" s="1"/>
    </row>
    <row r="89" spans="1:11" ht="28.5" customHeight="1">
      <c r="A89" s="18">
        <v>102</v>
      </c>
      <c r="B89" s="35" t="s">
        <v>303</v>
      </c>
      <c r="C89" s="36" t="s">
        <v>41</v>
      </c>
      <c r="D89" s="18">
        <v>32905</v>
      </c>
      <c r="E89" s="36">
        <v>32630</v>
      </c>
      <c r="F89" s="41" t="s">
        <v>304</v>
      </c>
      <c r="G89" s="1">
        <f t="shared" si="0"/>
        <v>16315</v>
      </c>
      <c r="H89" s="1"/>
      <c r="I89" s="1"/>
      <c r="J89" s="1"/>
      <c r="K89" s="1"/>
    </row>
    <row r="90" spans="1:11" ht="28.5" customHeight="1">
      <c r="A90" s="18">
        <v>103</v>
      </c>
      <c r="B90" s="35" t="s">
        <v>305</v>
      </c>
      <c r="C90" s="36" t="s">
        <v>38</v>
      </c>
      <c r="D90" s="18">
        <v>50000</v>
      </c>
      <c r="E90" s="36">
        <v>49725</v>
      </c>
      <c r="F90" s="41" t="s">
        <v>306</v>
      </c>
      <c r="G90" s="1">
        <f t="shared" si="0"/>
        <v>24863</v>
      </c>
      <c r="H90" s="1"/>
      <c r="I90" s="1"/>
      <c r="J90" s="1"/>
      <c r="K90" s="1"/>
    </row>
    <row r="91" spans="1:11" ht="28.5" customHeight="1">
      <c r="A91" s="18">
        <v>104</v>
      </c>
      <c r="B91" s="35" t="s">
        <v>307</v>
      </c>
      <c r="C91" s="36" t="s">
        <v>38</v>
      </c>
      <c r="D91" s="18">
        <v>35000</v>
      </c>
      <c r="E91" s="36">
        <v>34725</v>
      </c>
      <c r="F91" s="41" t="s">
        <v>308</v>
      </c>
      <c r="G91" s="1">
        <f t="shared" si="0"/>
        <v>17363</v>
      </c>
      <c r="H91" s="1"/>
      <c r="I91" s="1"/>
      <c r="J91" s="1"/>
      <c r="K91" s="1"/>
    </row>
    <row r="92" spans="1:11" ht="28.5" customHeight="1">
      <c r="A92" s="18">
        <v>105</v>
      </c>
      <c r="B92" s="35" t="s">
        <v>95</v>
      </c>
      <c r="C92" s="36" t="s">
        <v>38</v>
      </c>
      <c r="D92" s="18">
        <v>23460</v>
      </c>
      <c r="E92" s="36">
        <v>19585</v>
      </c>
      <c r="F92" s="41" t="s">
        <v>96</v>
      </c>
      <c r="G92" s="1">
        <f t="shared" si="0"/>
        <v>9793</v>
      </c>
      <c r="H92" s="1"/>
      <c r="I92" s="1"/>
      <c r="J92" s="1"/>
      <c r="K92" s="1"/>
    </row>
    <row r="93" spans="1:11" ht="28.5" customHeight="1">
      <c r="A93" s="18">
        <v>106</v>
      </c>
      <c r="B93" s="35" t="s">
        <v>309</v>
      </c>
      <c r="C93" s="36" t="s">
        <v>38</v>
      </c>
      <c r="D93" s="18">
        <v>35000</v>
      </c>
      <c r="E93" s="36">
        <v>34725</v>
      </c>
      <c r="F93" s="41" t="s">
        <v>310</v>
      </c>
      <c r="G93" s="1">
        <f t="shared" si="0"/>
        <v>17363</v>
      </c>
      <c r="H93" s="1"/>
      <c r="I93" s="1"/>
      <c r="J93" s="1"/>
      <c r="K93" s="1"/>
    </row>
    <row r="94" spans="1:11" ht="28.5" customHeight="1">
      <c r="A94" s="18">
        <v>107</v>
      </c>
      <c r="B94" s="35" t="s">
        <v>97</v>
      </c>
      <c r="C94" s="36" t="s">
        <v>311</v>
      </c>
      <c r="D94" s="36">
        <v>110277</v>
      </c>
      <c r="E94" s="36">
        <v>106402</v>
      </c>
      <c r="F94" s="41" t="s">
        <v>98</v>
      </c>
      <c r="G94" s="1">
        <f t="shared" si="0"/>
        <v>53201</v>
      </c>
      <c r="H94" s="1"/>
      <c r="I94" s="1"/>
      <c r="J94" s="1"/>
      <c r="K94" s="1"/>
    </row>
    <row r="95" spans="1:11" ht="28.5" customHeight="1">
      <c r="A95" s="18">
        <v>108</v>
      </c>
      <c r="B95" s="35" t="s">
        <v>312</v>
      </c>
      <c r="C95" s="36" t="s">
        <v>313</v>
      </c>
      <c r="D95" s="18">
        <v>54103</v>
      </c>
      <c r="E95" s="36">
        <v>53962</v>
      </c>
      <c r="F95" s="41" t="s">
        <v>100</v>
      </c>
      <c r="G95" s="1">
        <f t="shared" si="0"/>
        <v>26981</v>
      </c>
      <c r="H95" s="1"/>
      <c r="I95" s="1"/>
      <c r="J95" s="1"/>
      <c r="K95" s="1"/>
    </row>
    <row r="96" spans="1:11" ht="28.5" customHeight="1">
      <c r="A96" s="18">
        <v>109</v>
      </c>
      <c r="B96" s="35" t="s">
        <v>314</v>
      </c>
      <c r="C96" s="36" t="s">
        <v>41</v>
      </c>
      <c r="D96" s="18">
        <v>42275</v>
      </c>
      <c r="E96" s="36">
        <v>42000</v>
      </c>
      <c r="F96" s="41" t="s">
        <v>315</v>
      </c>
      <c r="G96" s="1">
        <f t="shared" si="0"/>
        <v>21000</v>
      </c>
      <c r="H96" s="1"/>
      <c r="I96" s="1"/>
      <c r="J96" s="1"/>
      <c r="K96" s="1"/>
    </row>
    <row r="97" spans="1:11" ht="28.5" customHeight="1">
      <c r="A97" s="18">
        <v>110</v>
      </c>
      <c r="B97" s="35" t="s">
        <v>316</v>
      </c>
      <c r="C97" s="36" t="s">
        <v>317</v>
      </c>
      <c r="D97" s="18">
        <v>75085</v>
      </c>
      <c r="E97" s="36">
        <v>71210</v>
      </c>
      <c r="F97" s="41" t="s">
        <v>99</v>
      </c>
      <c r="G97" s="1">
        <f t="shared" si="0"/>
        <v>35605</v>
      </c>
      <c r="H97" s="1"/>
      <c r="I97" s="1"/>
      <c r="J97" s="1"/>
      <c r="K97" s="1"/>
    </row>
    <row r="98" spans="1:11" ht="28.5" customHeight="1">
      <c r="A98" s="18">
        <v>111</v>
      </c>
      <c r="B98" s="35" t="s">
        <v>318</v>
      </c>
      <c r="C98" s="36" t="s">
        <v>319</v>
      </c>
      <c r="D98" s="18">
        <v>170000</v>
      </c>
      <c r="E98" s="36">
        <v>169725</v>
      </c>
      <c r="F98" s="41" t="s">
        <v>320</v>
      </c>
      <c r="G98" s="1">
        <f t="shared" si="0"/>
        <v>84863</v>
      </c>
      <c r="H98" s="1"/>
      <c r="I98" s="1"/>
      <c r="J98" s="1"/>
      <c r="K98" s="1"/>
    </row>
    <row r="99" spans="1:11" ht="28.5" customHeight="1">
      <c r="A99" s="18">
        <v>112</v>
      </c>
      <c r="B99" s="35" t="s">
        <v>321</v>
      </c>
      <c r="C99" s="36" t="s">
        <v>38</v>
      </c>
      <c r="D99" s="18">
        <v>24460</v>
      </c>
      <c r="E99" s="36">
        <v>24185</v>
      </c>
      <c r="F99" s="41" t="s">
        <v>322</v>
      </c>
      <c r="G99" s="1">
        <f t="shared" si="0"/>
        <v>12093</v>
      </c>
      <c r="H99" s="1"/>
      <c r="I99" s="1"/>
      <c r="J99" s="1"/>
      <c r="K99" s="1"/>
    </row>
    <row r="100" spans="1:11" ht="28.5" customHeight="1">
      <c r="A100" s="18">
        <v>113</v>
      </c>
      <c r="B100" s="20" t="s">
        <v>101</v>
      </c>
      <c r="C100" s="36" t="s">
        <v>38</v>
      </c>
      <c r="D100" s="18">
        <v>23460</v>
      </c>
      <c r="E100" s="36">
        <v>23185</v>
      </c>
      <c r="F100" s="41" t="s">
        <v>102</v>
      </c>
      <c r="G100" s="1">
        <f t="shared" si="0"/>
        <v>11593</v>
      </c>
      <c r="H100" s="1"/>
      <c r="I100" s="1"/>
      <c r="J100" s="1"/>
      <c r="K100" s="1"/>
    </row>
    <row r="101" spans="1:11" ht="28.5" customHeight="1">
      <c r="A101" s="18">
        <v>114</v>
      </c>
      <c r="B101" s="35" t="s">
        <v>323</v>
      </c>
      <c r="C101" s="36" t="s">
        <v>38</v>
      </c>
      <c r="D101" s="18">
        <v>39632</v>
      </c>
      <c r="E101" s="36">
        <v>40020</v>
      </c>
      <c r="F101" s="41" t="s">
        <v>324</v>
      </c>
      <c r="G101" s="1">
        <f t="shared" si="0"/>
        <v>20010</v>
      </c>
      <c r="H101" s="1"/>
      <c r="I101" s="1"/>
      <c r="J101" s="1"/>
      <c r="K101" s="1"/>
    </row>
    <row r="102" spans="1:11" ht="28.5" customHeight="1">
      <c r="A102" s="18">
        <v>115</v>
      </c>
      <c r="B102" s="35" t="s">
        <v>103</v>
      </c>
      <c r="C102" s="36" t="s">
        <v>38</v>
      </c>
      <c r="D102" s="18">
        <v>20460</v>
      </c>
      <c r="E102" s="36">
        <v>20185</v>
      </c>
      <c r="F102" s="41" t="s">
        <v>104</v>
      </c>
      <c r="G102" s="1">
        <f t="shared" si="0"/>
        <v>10093</v>
      </c>
      <c r="H102" s="1"/>
      <c r="I102" s="1"/>
      <c r="J102" s="1"/>
      <c r="K102" s="1"/>
    </row>
    <row r="103" spans="1:11" ht="28.5" customHeight="1">
      <c r="A103" s="18">
        <v>116</v>
      </c>
      <c r="B103" s="35" t="s">
        <v>105</v>
      </c>
      <c r="C103" s="36" t="s">
        <v>38</v>
      </c>
      <c r="D103" s="18">
        <v>18260</v>
      </c>
      <c r="E103" s="36">
        <v>18035</v>
      </c>
      <c r="F103" s="41" t="s">
        <v>106</v>
      </c>
      <c r="G103" s="1">
        <f t="shared" si="0"/>
        <v>9018</v>
      </c>
      <c r="H103" s="1"/>
      <c r="I103" s="1"/>
      <c r="J103" s="1"/>
      <c r="K103" s="1"/>
    </row>
    <row r="104" spans="1:11" ht="28.5" customHeight="1">
      <c r="A104" s="18">
        <v>117</v>
      </c>
      <c r="B104" s="35" t="s">
        <v>325</v>
      </c>
      <c r="C104" s="36" t="s">
        <v>38</v>
      </c>
      <c r="D104" s="18">
        <v>25000</v>
      </c>
      <c r="E104" s="18">
        <v>24725</v>
      </c>
      <c r="F104" s="41" t="s">
        <v>326</v>
      </c>
      <c r="G104" s="1">
        <f t="shared" si="0"/>
        <v>12363</v>
      </c>
      <c r="H104" s="1"/>
      <c r="I104" s="1"/>
      <c r="J104" s="1"/>
      <c r="K104" s="1"/>
    </row>
    <row r="105" spans="1:11" ht="28.5" customHeight="1">
      <c r="A105" s="18">
        <v>118</v>
      </c>
      <c r="B105" s="35" t="s">
        <v>327</v>
      </c>
      <c r="C105" s="36" t="s">
        <v>38</v>
      </c>
      <c r="D105" s="18">
        <v>25000</v>
      </c>
      <c r="E105" s="18">
        <v>24725</v>
      </c>
      <c r="F105" s="41" t="s">
        <v>328</v>
      </c>
      <c r="G105" s="1">
        <f t="shared" si="0"/>
        <v>12363</v>
      </c>
      <c r="H105" s="1"/>
      <c r="I105" s="1"/>
      <c r="J105" s="1"/>
      <c r="K105" s="1"/>
    </row>
    <row r="106" spans="1:11" ht="28.5" customHeight="1">
      <c r="A106" s="18">
        <v>119</v>
      </c>
      <c r="B106" s="35" t="s">
        <v>329</v>
      </c>
      <c r="C106" s="36" t="s">
        <v>261</v>
      </c>
      <c r="D106" s="18">
        <v>52000</v>
      </c>
      <c r="E106" s="18">
        <v>51725</v>
      </c>
      <c r="F106" s="41" t="s">
        <v>330</v>
      </c>
      <c r="G106" s="1">
        <f t="shared" si="0"/>
        <v>25863</v>
      </c>
      <c r="H106" s="1"/>
      <c r="I106" s="1"/>
      <c r="J106" s="1"/>
      <c r="K106" s="1"/>
    </row>
    <row r="107" spans="1:11" ht="28.5" customHeight="1">
      <c r="A107" s="18">
        <v>120</v>
      </c>
      <c r="B107" s="35" t="s">
        <v>331</v>
      </c>
      <c r="C107" s="36" t="s">
        <v>38</v>
      </c>
      <c r="D107" s="18">
        <v>22000</v>
      </c>
      <c r="E107" s="36">
        <v>21770</v>
      </c>
      <c r="F107" s="41" t="s">
        <v>332</v>
      </c>
      <c r="G107" s="1">
        <f t="shared" si="0"/>
        <v>10885</v>
      </c>
      <c r="H107" s="1"/>
      <c r="I107" s="1"/>
      <c r="J107" s="1"/>
      <c r="K107" s="1"/>
    </row>
    <row r="108" spans="1:11" ht="28.5" customHeight="1">
      <c r="A108" s="18">
        <v>122</v>
      </c>
      <c r="B108" s="35" t="s">
        <v>115</v>
      </c>
      <c r="C108" s="36" t="s">
        <v>41</v>
      </c>
      <c r="D108" s="18">
        <v>51516</v>
      </c>
      <c r="E108" s="36">
        <v>51241</v>
      </c>
      <c r="F108" s="41" t="s">
        <v>116</v>
      </c>
      <c r="G108" s="1">
        <f t="shared" si="0"/>
        <v>25621</v>
      </c>
      <c r="H108" s="1"/>
      <c r="I108" s="1"/>
      <c r="J108" s="1"/>
      <c r="K108" s="1"/>
    </row>
    <row r="109" spans="1:11" ht="28.5" customHeight="1">
      <c r="A109" s="18">
        <v>123</v>
      </c>
      <c r="B109" s="35" t="s">
        <v>107</v>
      </c>
      <c r="C109" s="36" t="s">
        <v>336</v>
      </c>
      <c r="D109" s="18">
        <v>62759</v>
      </c>
      <c r="E109" s="36">
        <v>58884</v>
      </c>
      <c r="F109" s="41" t="s">
        <v>109</v>
      </c>
      <c r="G109" s="1">
        <f t="shared" si="0"/>
        <v>29442</v>
      </c>
      <c r="H109" s="1"/>
      <c r="I109" s="1"/>
      <c r="J109" s="1"/>
      <c r="K109" s="1"/>
    </row>
    <row r="110" spans="1:11" ht="28.5" customHeight="1">
      <c r="A110" s="18">
        <v>124</v>
      </c>
      <c r="B110" s="35" t="s">
        <v>120</v>
      </c>
      <c r="C110" s="36" t="s">
        <v>41</v>
      </c>
      <c r="D110" s="36">
        <v>30000</v>
      </c>
      <c r="E110" s="36">
        <v>26125</v>
      </c>
      <c r="F110" s="41" t="s">
        <v>121</v>
      </c>
      <c r="G110" s="1">
        <f t="shared" si="0"/>
        <v>13063</v>
      </c>
      <c r="H110" s="1"/>
      <c r="I110" s="1"/>
      <c r="J110" s="1"/>
      <c r="K110" s="1"/>
    </row>
    <row r="111" spans="1:11" ht="28.5" customHeight="1">
      <c r="A111" s="18">
        <v>125</v>
      </c>
      <c r="B111" s="35" t="s">
        <v>337</v>
      </c>
      <c r="C111" s="36" t="s">
        <v>38</v>
      </c>
      <c r="D111" s="18">
        <v>35000</v>
      </c>
      <c r="E111" s="36">
        <v>34725</v>
      </c>
      <c r="F111" s="41" t="s">
        <v>338</v>
      </c>
      <c r="G111" s="1">
        <f t="shared" si="0"/>
        <v>17363</v>
      </c>
      <c r="H111" s="1"/>
      <c r="I111" s="1"/>
      <c r="J111" s="1"/>
      <c r="K111" s="1"/>
    </row>
    <row r="112" spans="1:11" ht="28.5" customHeight="1">
      <c r="A112" s="18">
        <v>126</v>
      </c>
      <c r="B112" s="35" t="s">
        <v>111</v>
      </c>
      <c r="C112" s="36" t="s">
        <v>48</v>
      </c>
      <c r="D112" s="18">
        <v>50000</v>
      </c>
      <c r="E112" s="36">
        <v>49725</v>
      </c>
      <c r="F112" s="41" t="s">
        <v>112</v>
      </c>
      <c r="G112" s="1">
        <f t="shared" si="0"/>
        <v>24863</v>
      </c>
      <c r="H112" s="1"/>
      <c r="I112" s="1"/>
      <c r="J112" s="1"/>
      <c r="K112" s="1"/>
    </row>
    <row r="113" spans="1:11" ht="28.5" customHeight="1">
      <c r="A113" s="18">
        <v>127</v>
      </c>
      <c r="B113" s="35" t="s">
        <v>339</v>
      </c>
      <c r="C113" s="36" t="s">
        <v>38</v>
      </c>
      <c r="D113" s="36">
        <v>30000</v>
      </c>
      <c r="E113" s="36">
        <v>29725</v>
      </c>
      <c r="F113" s="41" t="s">
        <v>340</v>
      </c>
      <c r="G113" s="1">
        <f t="shared" si="0"/>
        <v>14863</v>
      </c>
      <c r="H113" s="1"/>
      <c r="I113" s="1"/>
      <c r="J113" s="1"/>
      <c r="K113" s="1"/>
    </row>
    <row r="114" spans="1:11" ht="28.5" customHeight="1">
      <c r="A114" s="18">
        <v>128</v>
      </c>
      <c r="B114" s="35" t="s">
        <v>341</v>
      </c>
      <c r="C114" s="36" t="s">
        <v>38</v>
      </c>
      <c r="D114" s="18">
        <v>24460</v>
      </c>
      <c r="E114" s="36">
        <v>24185</v>
      </c>
      <c r="F114" s="41" t="s">
        <v>342</v>
      </c>
      <c r="G114" s="1">
        <f t="shared" si="0"/>
        <v>12093</v>
      </c>
      <c r="H114" s="1"/>
      <c r="I114" s="1"/>
      <c r="J114" s="1"/>
      <c r="K114" s="1"/>
    </row>
    <row r="115" spans="1:11" ht="28.5" customHeight="1">
      <c r="A115" s="18">
        <v>129</v>
      </c>
      <c r="B115" s="35" t="s">
        <v>123</v>
      </c>
      <c r="C115" s="36" t="s">
        <v>38</v>
      </c>
      <c r="D115" s="36">
        <v>23000</v>
      </c>
      <c r="E115" s="36">
        <v>22725</v>
      </c>
      <c r="F115" s="41" t="s">
        <v>124</v>
      </c>
      <c r="G115" s="1">
        <f t="shared" si="0"/>
        <v>11363</v>
      </c>
      <c r="H115" s="1"/>
      <c r="I115" s="1"/>
      <c r="J115" s="1"/>
      <c r="K115" s="1"/>
    </row>
    <row r="116" spans="1:11" ht="28.5" customHeight="1">
      <c r="A116" s="18">
        <v>130</v>
      </c>
      <c r="B116" s="35" t="s">
        <v>343</v>
      </c>
      <c r="C116" s="36" t="s">
        <v>38</v>
      </c>
      <c r="D116" s="18">
        <v>32460</v>
      </c>
      <c r="E116" s="36">
        <v>32185</v>
      </c>
      <c r="F116" s="41" t="s">
        <v>119</v>
      </c>
      <c r="G116" s="1">
        <f t="shared" si="0"/>
        <v>16093</v>
      </c>
      <c r="H116" s="1"/>
      <c r="I116" s="1"/>
      <c r="J116" s="1"/>
      <c r="K116" s="1"/>
    </row>
    <row r="117" spans="1:11" ht="28.5" customHeight="1">
      <c r="A117" s="18">
        <v>131</v>
      </c>
      <c r="B117" s="35" t="s">
        <v>122</v>
      </c>
      <c r="C117" s="36" t="s">
        <v>38</v>
      </c>
      <c r="D117" s="36">
        <v>22000</v>
      </c>
      <c r="E117" s="36">
        <v>21725</v>
      </c>
      <c r="F117" s="41" t="s">
        <v>344</v>
      </c>
      <c r="G117" s="1">
        <f t="shared" si="0"/>
        <v>10863</v>
      </c>
      <c r="H117" s="1"/>
      <c r="I117" s="1"/>
      <c r="J117" s="1"/>
      <c r="K117" s="1"/>
    </row>
    <row r="118" spans="1:11" ht="28.5" customHeight="1">
      <c r="A118" s="18">
        <v>132</v>
      </c>
      <c r="B118" s="35" t="s">
        <v>345</v>
      </c>
      <c r="C118" s="36" t="s">
        <v>38</v>
      </c>
      <c r="D118" s="18">
        <v>35000</v>
      </c>
      <c r="E118" s="36">
        <v>34725</v>
      </c>
      <c r="F118" s="41" t="s">
        <v>114</v>
      </c>
      <c r="G118" s="1">
        <f t="shared" si="0"/>
        <v>17363</v>
      </c>
      <c r="H118" s="1"/>
      <c r="I118" s="1"/>
      <c r="J118" s="1"/>
      <c r="K118" s="1"/>
    </row>
    <row r="119" spans="1:11" ht="28.5" customHeight="1">
      <c r="A119" s="18">
        <v>133</v>
      </c>
      <c r="B119" s="35" t="s">
        <v>346</v>
      </c>
      <c r="C119" s="36" t="s">
        <v>38</v>
      </c>
      <c r="D119" s="36">
        <v>30000</v>
      </c>
      <c r="E119" s="36">
        <v>29725</v>
      </c>
      <c r="F119" s="41" t="s">
        <v>110</v>
      </c>
      <c r="G119" s="1">
        <f t="shared" si="0"/>
        <v>14863</v>
      </c>
      <c r="H119" s="1"/>
      <c r="I119" s="1"/>
      <c r="J119" s="1"/>
      <c r="K119" s="1"/>
    </row>
    <row r="120" spans="1:11" ht="28.5" customHeight="1">
      <c r="A120" s="18">
        <v>134</v>
      </c>
      <c r="B120" s="35" t="s">
        <v>347</v>
      </c>
      <c r="C120" s="36" t="s">
        <v>38</v>
      </c>
      <c r="D120" s="36">
        <v>17500</v>
      </c>
      <c r="E120" s="36">
        <v>17275</v>
      </c>
      <c r="F120" s="41" t="s">
        <v>348</v>
      </c>
      <c r="G120" s="1">
        <f t="shared" si="0"/>
        <v>8638</v>
      </c>
      <c r="H120" s="1"/>
      <c r="I120" s="1"/>
      <c r="J120" s="1"/>
      <c r="K120" s="1"/>
    </row>
    <row r="121" spans="1:11" ht="28.5" customHeight="1">
      <c r="A121" s="18">
        <v>135</v>
      </c>
      <c r="B121" s="35" t="s">
        <v>349</v>
      </c>
      <c r="C121" s="36" t="s">
        <v>38</v>
      </c>
      <c r="D121" s="36">
        <v>18000</v>
      </c>
      <c r="E121" s="36">
        <v>17775</v>
      </c>
      <c r="F121" s="41" t="s">
        <v>350</v>
      </c>
      <c r="G121" s="1">
        <f t="shared" si="0"/>
        <v>8888</v>
      </c>
      <c r="H121" s="1"/>
      <c r="I121" s="1"/>
      <c r="J121" s="1"/>
      <c r="K121" s="1"/>
    </row>
    <row r="122" spans="1:11" ht="28.5" customHeight="1">
      <c r="A122" s="18">
        <v>136</v>
      </c>
      <c r="B122" s="35" t="s">
        <v>351</v>
      </c>
      <c r="C122" s="36" t="s">
        <v>38</v>
      </c>
      <c r="D122" s="36">
        <v>20000</v>
      </c>
      <c r="E122" s="36">
        <v>19775</v>
      </c>
      <c r="F122" s="41" t="s">
        <v>352</v>
      </c>
      <c r="G122" s="1">
        <f t="shared" si="0"/>
        <v>9888</v>
      </c>
      <c r="H122" s="1"/>
      <c r="I122" s="1"/>
      <c r="J122" s="1"/>
      <c r="K122" s="1"/>
    </row>
    <row r="123" spans="1:11" ht="28.5" customHeight="1">
      <c r="A123" s="18">
        <v>137</v>
      </c>
      <c r="B123" s="35" t="s">
        <v>353</v>
      </c>
      <c r="C123" s="36" t="s">
        <v>38</v>
      </c>
      <c r="D123" s="36">
        <v>18000</v>
      </c>
      <c r="E123" s="36">
        <v>17775</v>
      </c>
      <c r="F123" s="41" t="s">
        <v>354</v>
      </c>
      <c r="G123" s="1">
        <f t="shared" si="0"/>
        <v>8888</v>
      </c>
      <c r="H123" s="1"/>
      <c r="I123" s="1"/>
      <c r="J123" s="1"/>
      <c r="K123" s="1"/>
    </row>
    <row r="124" spans="1:11" ht="28.5" customHeight="1">
      <c r="A124" s="18">
        <v>138</v>
      </c>
      <c r="B124" s="35" t="s">
        <v>355</v>
      </c>
      <c r="C124" s="36" t="s">
        <v>38</v>
      </c>
      <c r="D124" s="36">
        <v>29000</v>
      </c>
      <c r="E124" s="36">
        <v>28725</v>
      </c>
      <c r="F124" s="41" t="s">
        <v>356</v>
      </c>
      <c r="G124" s="1">
        <f t="shared" si="0"/>
        <v>14363</v>
      </c>
      <c r="H124" s="1"/>
      <c r="I124" s="1"/>
      <c r="J124" s="1"/>
      <c r="K124" s="1"/>
    </row>
    <row r="125" spans="1:11" ht="28.5" customHeight="1">
      <c r="A125" s="18">
        <v>139</v>
      </c>
      <c r="B125" s="35" t="s">
        <v>357</v>
      </c>
      <c r="C125" s="36" t="s">
        <v>38</v>
      </c>
      <c r="D125" s="36">
        <v>18000</v>
      </c>
      <c r="E125" s="36">
        <v>17775</v>
      </c>
      <c r="F125" s="41" t="s">
        <v>358</v>
      </c>
      <c r="G125" s="1">
        <f t="shared" si="0"/>
        <v>8888</v>
      </c>
      <c r="H125" s="1"/>
      <c r="I125" s="1"/>
      <c r="J125" s="1"/>
      <c r="K125" s="1"/>
    </row>
    <row r="126" spans="1:11" ht="28.5" customHeight="1">
      <c r="A126" s="18">
        <v>140</v>
      </c>
      <c r="B126" s="35" t="s">
        <v>359</v>
      </c>
      <c r="C126" s="36" t="s">
        <v>38</v>
      </c>
      <c r="D126" s="36">
        <v>18000</v>
      </c>
      <c r="E126" s="36">
        <v>17775</v>
      </c>
      <c r="F126" s="41" t="s">
        <v>360</v>
      </c>
      <c r="G126" s="1">
        <f t="shared" si="0"/>
        <v>8888</v>
      </c>
      <c r="H126" s="1"/>
      <c r="I126" s="1"/>
      <c r="J126" s="1"/>
      <c r="K126" s="1"/>
    </row>
    <row r="127" spans="1:11" ht="28.5" customHeight="1">
      <c r="A127" s="18">
        <v>141</v>
      </c>
      <c r="B127" s="35" t="s">
        <v>361</v>
      </c>
      <c r="C127" s="36" t="s">
        <v>38</v>
      </c>
      <c r="D127" s="36">
        <v>26000</v>
      </c>
      <c r="E127" s="36">
        <v>25725</v>
      </c>
      <c r="F127" s="41" t="s">
        <v>362</v>
      </c>
      <c r="G127" s="1">
        <f t="shared" si="0"/>
        <v>12863</v>
      </c>
      <c r="H127" s="1"/>
      <c r="I127" s="1"/>
      <c r="J127" s="1"/>
      <c r="K127" s="1"/>
    </row>
    <row r="128" spans="1:11" ht="28.5" customHeight="1">
      <c r="A128" s="18">
        <v>143</v>
      </c>
      <c r="B128" s="35" t="s">
        <v>365</v>
      </c>
      <c r="C128" s="36" t="s">
        <v>38</v>
      </c>
      <c r="D128" s="36">
        <v>21000</v>
      </c>
      <c r="E128" s="36">
        <v>20725</v>
      </c>
      <c r="F128" s="41" t="s">
        <v>366</v>
      </c>
      <c r="G128" s="1">
        <f t="shared" si="0"/>
        <v>10363</v>
      </c>
      <c r="H128" s="1"/>
      <c r="I128" s="1"/>
      <c r="J128" s="1"/>
      <c r="K128" s="1"/>
    </row>
    <row r="129" spans="1:11" ht="28.5" customHeight="1">
      <c r="A129" s="18">
        <v>146</v>
      </c>
      <c r="B129" s="35" t="s">
        <v>371</v>
      </c>
      <c r="C129" s="36" t="s">
        <v>261</v>
      </c>
      <c r="D129" s="18">
        <v>52000</v>
      </c>
      <c r="E129" s="36">
        <v>51725</v>
      </c>
      <c r="F129" s="41" t="s">
        <v>372</v>
      </c>
      <c r="G129" s="1">
        <f t="shared" si="0"/>
        <v>25863</v>
      </c>
      <c r="H129" s="1"/>
      <c r="I129" s="1"/>
      <c r="J129" s="1"/>
      <c r="K129" s="1"/>
    </row>
    <row r="130" spans="1:11" ht="28.5" customHeight="1">
      <c r="A130" s="18">
        <v>147</v>
      </c>
      <c r="B130" s="35" t="s">
        <v>373</v>
      </c>
      <c r="C130" s="36" t="s">
        <v>261</v>
      </c>
      <c r="D130" s="18">
        <v>52000</v>
      </c>
      <c r="E130" s="36">
        <v>51725</v>
      </c>
      <c r="F130" s="41" t="s">
        <v>374</v>
      </c>
      <c r="G130" s="1">
        <f t="shared" si="0"/>
        <v>25863</v>
      </c>
      <c r="H130" s="1"/>
      <c r="I130" s="1"/>
      <c r="J130" s="1"/>
      <c r="K130" s="1"/>
    </row>
    <row r="131" spans="1:11" ht="28.5" customHeight="1">
      <c r="A131" s="18">
        <v>148</v>
      </c>
      <c r="B131" s="35" t="s">
        <v>375</v>
      </c>
      <c r="C131" s="36" t="s">
        <v>44</v>
      </c>
      <c r="D131" s="18">
        <v>18000</v>
      </c>
      <c r="E131" s="36">
        <v>17775</v>
      </c>
      <c r="F131" s="41" t="s">
        <v>376</v>
      </c>
      <c r="G131" s="1">
        <f t="shared" si="0"/>
        <v>8888</v>
      </c>
      <c r="H131" s="1"/>
      <c r="I131" s="1"/>
      <c r="J131" s="1"/>
      <c r="K131" s="1"/>
    </row>
    <row r="132" spans="1:11" ht="28.5" customHeight="1">
      <c r="A132" s="18">
        <v>149</v>
      </c>
      <c r="B132" s="35" t="s">
        <v>125</v>
      </c>
      <c r="C132" s="36" t="s">
        <v>44</v>
      </c>
      <c r="D132" s="18">
        <v>18000</v>
      </c>
      <c r="E132" s="36">
        <v>17775</v>
      </c>
      <c r="F132" s="41" t="s">
        <v>126</v>
      </c>
      <c r="G132" s="1">
        <f t="shared" si="0"/>
        <v>8888</v>
      </c>
      <c r="H132" s="1"/>
      <c r="I132" s="1"/>
      <c r="J132" s="1"/>
      <c r="K132" s="1"/>
    </row>
    <row r="133" spans="1:11" ht="28.5" customHeight="1">
      <c r="A133" s="18">
        <v>150</v>
      </c>
      <c r="B133" s="35" t="s">
        <v>377</v>
      </c>
      <c r="C133" s="36" t="s">
        <v>48</v>
      </c>
      <c r="D133" s="18">
        <v>30000</v>
      </c>
      <c r="E133" s="36">
        <v>29725</v>
      </c>
      <c r="F133" s="41" t="s">
        <v>378</v>
      </c>
      <c r="G133" s="1">
        <f t="shared" si="0"/>
        <v>14863</v>
      </c>
      <c r="H133" s="1"/>
      <c r="I133" s="1"/>
      <c r="J133" s="1"/>
      <c r="K133" s="1"/>
    </row>
    <row r="134" spans="1:11" ht="28.5" customHeight="1">
      <c r="A134" s="18">
        <v>151</v>
      </c>
      <c r="B134" s="35" t="s">
        <v>117</v>
      </c>
      <c r="C134" s="36" t="s">
        <v>38</v>
      </c>
      <c r="D134" s="18">
        <v>25000</v>
      </c>
      <c r="E134" s="36">
        <v>24725</v>
      </c>
      <c r="F134" s="41" t="s">
        <v>118</v>
      </c>
      <c r="G134" s="1">
        <f t="shared" si="0"/>
        <v>12363</v>
      </c>
      <c r="H134" s="1"/>
      <c r="I134" s="1"/>
      <c r="J134" s="1"/>
      <c r="K134" s="1"/>
    </row>
    <row r="135" spans="1:11" ht="28.5" customHeight="1">
      <c r="A135" s="18">
        <v>152</v>
      </c>
      <c r="B135" s="35" t="s">
        <v>127</v>
      </c>
      <c r="C135" s="36" t="s">
        <v>128</v>
      </c>
      <c r="D135" s="18">
        <v>30780</v>
      </c>
      <c r="E135" s="36">
        <v>30780</v>
      </c>
      <c r="F135" s="38" t="s">
        <v>129</v>
      </c>
      <c r="G135" s="1">
        <f t="shared" si="0"/>
        <v>15390</v>
      </c>
      <c r="H135" s="1"/>
      <c r="I135" s="1"/>
      <c r="J135" s="1"/>
      <c r="K135" s="1"/>
    </row>
    <row r="136" spans="1:11" ht="28.5" customHeight="1">
      <c r="A136" s="15"/>
      <c r="B136" s="16" t="s">
        <v>8</v>
      </c>
      <c r="C136" s="17"/>
      <c r="D136" s="17">
        <f t="shared" ref="D136:E136" si="1">SUM(D5:D135)</f>
        <v>5417060</v>
      </c>
      <c r="E136" s="17">
        <f t="shared" si="1"/>
        <v>5178042</v>
      </c>
      <c r="F136" s="17"/>
      <c r="G136" s="5">
        <f>SUM(G6:G135)</f>
        <v>2589073</v>
      </c>
      <c r="H136" s="5"/>
      <c r="I136" s="5"/>
      <c r="J136" s="5"/>
      <c r="K136" s="5"/>
    </row>
    <row r="137" spans="1:11" ht="28.5" customHeight="1">
      <c r="A137" s="18"/>
      <c r="B137" s="19"/>
      <c r="C137" s="19"/>
      <c r="D137" s="20"/>
      <c r="E137" s="18"/>
      <c r="F137" s="21"/>
      <c r="G137" s="1"/>
      <c r="H137" s="1"/>
      <c r="I137" s="1"/>
      <c r="J137" s="1"/>
      <c r="K137" s="1"/>
    </row>
    <row r="138" spans="1:11" ht="28.5" customHeight="1">
      <c r="A138" s="18"/>
      <c r="B138" s="34"/>
      <c r="C138" s="34"/>
      <c r="D138" s="15"/>
      <c r="E138" s="34"/>
      <c r="F138" s="34"/>
      <c r="G138" s="1"/>
      <c r="H138" s="1"/>
      <c r="I138" s="1"/>
      <c r="J138" s="1"/>
      <c r="K138" s="1"/>
    </row>
    <row r="139" spans="1:11" ht="28.5" customHeight="1">
      <c r="A139" s="18"/>
      <c r="B139" s="16"/>
      <c r="C139" s="17"/>
      <c r="D139" s="15"/>
      <c r="E139" s="18"/>
      <c r="F139" s="21"/>
      <c r="G139" s="1"/>
      <c r="H139" s="1"/>
      <c r="I139" s="1"/>
      <c r="J139" s="1"/>
      <c r="K139" s="1"/>
    </row>
    <row r="140" spans="1:11" ht="28.5" customHeight="1">
      <c r="A140" s="18"/>
      <c r="B140" s="16"/>
      <c r="C140" s="17"/>
      <c r="D140" s="15"/>
      <c r="E140" s="18"/>
      <c r="F140" s="21"/>
      <c r="G140" s="1"/>
      <c r="H140" s="1"/>
      <c r="I140" s="1"/>
      <c r="J140" s="1"/>
      <c r="K140" s="1"/>
    </row>
    <row r="141" spans="1:11" ht="28.5" hidden="1" customHeight="1">
      <c r="A141" s="119" t="s">
        <v>0</v>
      </c>
      <c r="B141" s="118"/>
      <c r="C141" s="118"/>
      <c r="D141" s="118"/>
      <c r="E141" s="118"/>
      <c r="F141" s="118"/>
      <c r="G141" s="1"/>
      <c r="H141" s="1"/>
      <c r="I141" s="1"/>
      <c r="J141" s="1"/>
      <c r="K141" s="1"/>
    </row>
    <row r="142" spans="1:11" ht="28.5" hidden="1" customHeight="1">
      <c r="A142" s="119" t="s">
        <v>379</v>
      </c>
      <c r="B142" s="118"/>
      <c r="C142" s="118"/>
      <c r="D142" s="118"/>
      <c r="E142" s="118"/>
      <c r="F142" s="118"/>
      <c r="G142" s="1"/>
      <c r="H142" s="1"/>
      <c r="I142" s="1"/>
      <c r="J142" s="1"/>
      <c r="K142" s="1"/>
    </row>
    <row r="143" spans="1:11" ht="41.25" hidden="1" customHeight="1">
      <c r="A143" s="17" t="s">
        <v>1</v>
      </c>
      <c r="B143" s="16" t="s">
        <v>2</v>
      </c>
      <c r="C143" s="17" t="s">
        <v>3</v>
      </c>
      <c r="D143" s="17" t="s">
        <v>4</v>
      </c>
      <c r="E143" s="17" t="s">
        <v>25</v>
      </c>
      <c r="F143" s="4" t="s">
        <v>26</v>
      </c>
      <c r="G143" s="1"/>
      <c r="H143" s="1"/>
      <c r="I143" s="1"/>
      <c r="J143" s="1"/>
      <c r="K143" s="1"/>
    </row>
    <row r="144" spans="1:11" ht="28.5" customHeight="1">
      <c r="A144" s="26"/>
      <c r="B144" s="27"/>
      <c r="C144" s="28"/>
      <c r="D144" s="26"/>
      <c r="E144" s="26"/>
      <c r="F144" s="29"/>
      <c r="G144" s="1"/>
      <c r="H144" s="1"/>
      <c r="I144" s="1"/>
      <c r="J144" s="1"/>
      <c r="K144" s="1"/>
    </row>
  </sheetData>
  <autoFilter ref="A1:F136" xr:uid="{00000000-0009-0000-0000-000002000000}"/>
  <mergeCells count="4">
    <mergeCell ref="A1:F1"/>
    <mergeCell ref="A2:F2"/>
    <mergeCell ref="A141:F141"/>
    <mergeCell ref="A142:F142"/>
  </mergeCells>
  <printOptions horizontalCentered="1" gridLines="1"/>
  <pageMargins left="7.8740157480315001E-2" right="7.8740157480315001E-2" top="0.196850393700787" bottom="0.23622047244094499" header="0" footer="0"/>
  <pageSetup paperSize="5" scale="56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K100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/>
  <cols>
    <col min="1" max="1" width="5.5703125" customWidth="1"/>
    <col min="2" max="2" width="29.140625" customWidth="1"/>
    <col min="3" max="4" width="10.85546875" customWidth="1"/>
    <col min="5" max="5" width="16" customWidth="1"/>
    <col min="6" max="6" width="19.85546875" customWidth="1"/>
    <col min="7" max="11" width="9.140625" customWidth="1"/>
  </cols>
  <sheetData>
    <row r="1" spans="1:11" ht="18" customHeight="1">
      <c r="A1" s="117" t="s">
        <v>0</v>
      </c>
      <c r="B1" s="118"/>
      <c r="C1" s="118"/>
      <c r="D1" s="118"/>
      <c r="E1" s="118"/>
      <c r="F1" s="118"/>
      <c r="G1" s="1"/>
      <c r="H1" s="1"/>
      <c r="I1" s="1"/>
      <c r="J1" s="1"/>
      <c r="K1" s="1"/>
    </row>
    <row r="2" spans="1:11" ht="22.5" customHeight="1">
      <c r="A2" s="117" t="s">
        <v>135</v>
      </c>
      <c r="B2" s="118"/>
      <c r="C2" s="118"/>
      <c r="D2" s="118"/>
      <c r="E2" s="118"/>
      <c r="F2" s="118"/>
      <c r="G2" s="1"/>
      <c r="H2" s="1"/>
      <c r="I2" s="1"/>
      <c r="J2" s="1"/>
      <c r="K2" s="1"/>
    </row>
    <row r="3" spans="1:11" ht="28.5" customHeight="1">
      <c r="A3" s="2" t="s">
        <v>1</v>
      </c>
      <c r="B3" s="3" t="s">
        <v>2</v>
      </c>
      <c r="C3" s="2" t="s">
        <v>3</v>
      </c>
      <c r="D3" s="2" t="s">
        <v>4</v>
      </c>
      <c r="E3" s="2" t="s">
        <v>25</v>
      </c>
      <c r="F3" s="4" t="s">
        <v>26</v>
      </c>
      <c r="G3" s="1"/>
      <c r="H3" s="1"/>
      <c r="I3" s="1"/>
      <c r="J3" s="1"/>
      <c r="K3" s="1"/>
    </row>
    <row r="4" spans="1:11" ht="21.75" customHeight="1">
      <c r="A4" s="5"/>
      <c r="B4" s="3" t="s">
        <v>28</v>
      </c>
      <c r="C4" s="2"/>
      <c r="D4" s="5"/>
      <c r="E4" s="5"/>
      <c r="F4" s="2"/>
      <c r="G4" s="1"/>
      <c r="H4" s="1"/>
      <c r="I4" s="1"/>
      <c r="J4" s="1"/>
      <c r="K4" s="1"/>
    </row>
    <row r="5" spans="1:11" ht="28.5" customHeight="1">
      <c r="A5" s="22">
        <v>9</v>
      </c>
      <c r="B5" s="23" t="s">
        <v>146</v>
      </c>
      <c r="C5" s="24" t="s">
        <v>38</v>
      </c>
      <c r="D5" s="24">
        <v>40000</v>
      </c>
      <c r="E5" s="24">
        <v>39725</v>
      </c>
      <c r="F5" s="39" t="s">
        <v>147</v>
      </c>
      <c r="G5" s="25">
        <f>ROUND(E5/2,0)</f>
        <v>19863</v>
      </c>
      <c r="H5" s="25"/>
      <c r="I5" s="25"/>
      <c r="J5" s="25"/>
      <c r="K5" s="25"/>
    </row>
    <row r="6" spans="1:11" ht="28.5" customHeight="1">
      <c r="A6" s="1"/>
      <c r="B6" s="30"/>
      <c r="C6" s="31"/>
      <c r="D6" s="1"/>
      <c r="E6" s="1"/>
      <c r="F6" s="21"/>
      <c r="G6" s="1"/>
      <c r="H6" s="1"/>
      <c r="I6" s="1"/>
      <c r="J6" s="1"/>
      <c r="K6" s="1"/>
    </row>
    <row r="7" spans="1:11" ht="28.5" customHeight="1">
      <c r="A7" s="22">
        <v>23</v>
      </c>
      <c r="B7" s="32" t="s">
        <v>170</v>
      </c>
      <c r="C7" s="24" t="s">
        <v>38</v>
      </c>
      <c r="D7" s="22">
        <v>18000</v>
      </c>
      <c r="E7" s="24">
        <v>17775</v>
      </c>
      <c r="F7" s="43" t="s">
        <v>171</v>
      </c>
      <c r="G7" s="25">
        <f t="shared" ref="G7:G15" si="0">ROUND(E7/2,0)</f>
        <v>8888</v>
      </c>
      <c r="H7" s="25"/>
      <c r="I7" s="25"/>
      <c r="J7" s="25"/>
      <c r="K7" s="25"/>
    </row>
    <row r="8" spans="1:11" ht="28.5" customHeight="1">
      <c r="A8" s="22">
        <v>47</v>
      </c>
      <c r="B8" s="33" t="s">
        <v>206</v>
      </c>
      <c r="C8" s="24" t="s">
        <v>41</v>
      </c>
      <c r="D8" s="22">
        <v>75000</v>
      </c>
      <c r="E8" s="24">
        <v>74725</v>
      </c>
      <c r="F8" s="22"/>
      <c r="G8" s="25">
        <f t="shared" si="0"/>
        <v>37363</v>
      </c>
      <c r="H8" s="25"/>
      <c r="I8" s="25"/>
      <c r="J8" s="25"/>
      <c r="K8" s="25"/>
    </row>
    <row r="9" spans="1:11" ht="28.5" customHeight="1">
      <c r="A9" s="22">
        <v>75</v>
      </c>
      <c r="B9" s="32" t="s">
        <v>250</v>
      </c>
      <c r="C9" s="24" t="s">
        <v>38</v>
      </c>
      <c r="D9" s="22">
        <v>24000</v>
      </c>
      <c r="E9" s="24">
        <v>23725</v>
      </c>
      <c r="F9" s="43" t="s">
        <v>251</v>
      </c>
      <c r="G9" s="25">
        <f t="shared" si="0"/>
        <v>11863</v>
      </c>
      <c r="H9" s="25"/>
      <c r="I9" s="25"/>
      <c r="J9" s="25"/>
      <c r="K9" s="25"/>
    </row>
    <row r="10" spans="1:11" ht="28.5" customHeight="1">
      <c r="A10" s="22">
        <v>87</v>
      </c>
      <c r="B10" s="32" t="s">
        <v>275</v>
      </c>
      <c r="C10" s="24" t="s">
        <v>113</v>
      </c>
      <c r="D10" s="22">
        <v>50000</v>
      </c>
      <c r="E10" s="24">
        <v>49725</v>
      </c>
      <c r="F10" s="43" t="s">
        <v>276</v>
      </c>
      <c r="G10" s="25">
        <f t="shared" si="0"/>
        <v>24863</v>
      </c>
      <c r="H10" s="25"/>
      <c r="I10" s="25"/>
      <c r="J10" s="25"/>
      <c r="K10" s="25"/>
    </row>
    <row r="11" spans="1:11" ht="28.5" customHeight="1">
      <c r="A11" s="22">
        <v>98</v>
      </c>
      <c r="B11" s="32" t="s">
        <v>297</v>
      </c>
      <c r="C11" s="24" t="s">
        <v>38</v>
      </c>
      <c r="D11" s="22">
        <v>23000</v>
      </c>
      <c r="E11" s="24">
        <v>22770</v>
      </c>
      <c r="F11" s="43" t="s">
        <v>298</v>
      </c>
      <c r="G11" s="25">
        <f t="shared" si="0"/>
        <v>11385</v>
      </c>
      <c r="H11" s="25"/>
      <c r="I11" s="25"/>
      <c r="J11" s="25"/>
      <c r="K11" s="25"/>
    </row>
    <row r="12" spans="1:11" ht="28.5" customHeight="1">
      <c r="A12" s="22">
        <v>99</v>
      </c>
      <c r="B12" s="32" t="s">
        <v>299</v>
      </c>
      <c r="C12" s="24" t="s">
        <v>38</v>
      </c>
      <c r="D12" s="22">
        <v>37000</v>
      </c>
      <c r="E12" s="24">
        <v>36725</v>
      </c>
      <c r="F12" s="43" t="s">
        <v>300</v>
      </c>
      <c r="G12" s="25">
        <f t="shared" si="0"/>
        <v>18363</v>
      </c>
      <c r="H12" s="25"/>
      <c r="I12" s="25"/>
      <c r="J12" s="25"/>
      <c r="K12" s="25"/>
    </row>
    <row r="13" spans="1:11" ht="28.5" customHeight="1">
      <c r="A13" s="22">
        <v>142</v>
      </c>
      <c r="B13" s="32" t="s">
        <v>363</v>
      </c>
      <c r="C13" s="24" t="s">
        <v>38</v>
      </c>
      <c r="D13" s="24">
        <v>18000</v>
      </c>
      <c r="E13" s="24">
        <v>17775</v>
      </c>
      <c r="F13" s="43" t="s">
        <v>364</v>
      </c>
      <c r="G13" s="25">
        <f t="shared" si="0"/>
        <v>8888</v>
      </c>
      <c r="H13" s="25"/>
      <c r="I13" s="25"/>
      <c r="J13" s="25"/>
      <c r="K13" s="25"/>
    </row>
    <row r="14" spans="1:11" ht="28.5" customHeight="1">
      <c r="A14" s="22">
        <v>144</v>
      </c>
      <c r="B14" s="32" t="s">
        <v>367</v>
      </c>
      <c r="C14" s="24" t="s">
        <v>38</v>
      </c>
      <c r="D14" s="24">
        <v>20000</v>
      </c>
      <c r="E14" s="24">
        <v>19775</v>
      </c>
      <c r="F14" s="43" t="s">
        <v>368</v>
      </c>
      <c r="G14" s="25">
        <f t="shared" si="0"/>
        <v>9888</v>
      </c>
      <c r="H14" s="25"/>
      <c r="I14" s="25"/>
      <c r="J14" s="25"/>
      <c r="K14" s="25"/>
    </row>
    <row r="15" spans="1:11" ht="28.5" customHeight="1">
      <c r="A15" s="22">
        <v>145</v>
      </c>
      <c r="B15" s="32" t="s">
        <v>369</v>
      </c>
      <c r="C15" s="24" t="s">
        <v>38</v>
      </c>
      <c r="D15" s="24">
        <v>25000</v>
      </c>
      <c r="E15" s="24">
        <v>24725</v>
      </c>
      <c r="F15" s="43" t="s">
        <v>370</v>
      </c>
      <c r="G15" s="25">
        <f t="shared" si="0"/>
        <v>12363</v>
      </c>
      <c r="H15" s="25"/>
      <c r="I15" s="25"/>
      <c r="J15" s="25"/>
      <c r="K15" s="25"/>
    </row>
    <row r="16" spans="1:11" ht="28.5" customHeight="1">
      <c r="A16" s="15"/>
      <c r="B16" s="16" t="s">
        <v>8</v>
      </c>
      <c r="C16" s="17"/>
      <c r="D16" s="17">
        <f t="shared" ref="D16:E16" si="1">SUM(D5:D15)</f>
        <v>330000</v>
      </c>
      <c r="E16" s="17">
        <f t="shared" si="1"/>
        <v>327445</v>
      </c>
      <c r="F16" s="17"/>
      <c r="G16" s="5">
        <f>SUM(G5:G15)</f>
        <v>163727</v>
      </c>
      <c r="H16" s="5"/>
      <c r="I16" s="5"/>
      <c r="J16" s="5"/>
      <c r="K16" s="5"/>
    </row>
    <row r="17" spans="1:11" ht="28.5" customHeight="1">
      <c r="A17" s="18"/>
      <c r="B17" s="19"/>
      <c r="C17" s="19"/>
      <c r="D17" s="20"/>
      <c r="E17" s="18"/>
      <c r="F17" s="21"/>
      <c r="G17" s="1"/>
      <c r="H17" s="1"/>
      <c r="I17" s="1"/>
      <c r="J17" s="1"/>
      <c r="K17" s="1"/>
    </row>
    <row r="18" spans="1:11" ht="28.5" customHeight="1">
      <c r="A18" s="18"/>
      <c r="B18" s="34"/>
      <c r="C18" s="34"/>
      <c r="D18" s="15"/>
      <c r="E18" s="34"/>
      <c r="F18" s="34"/>
      <c r="G18" s="1"/>
      <c r="H18" s="1"/>
      <c r="I18" s="1"/>
      <c r="J18" s="1"/>
      <c r="K18" s="1"/>
    </row>
    <row r="19" spans="1:11" ht="28.5" customHeight="1">
      <c r="A19" s="18"/>
      <c r="B19" s="16"/>
      <c r="C19" s="17"/>
      <c r="D19" s="15"/>
      <c r="E19" s="18"/>
      <c r="F19" s="21"/>
      <c r="G19" s="1"/>
      <c r="H19" s="1"/>
      <c r="I19" s="1"/>
      <c r="J19" s="1"/>
      <c r="K19" s="1"/>
    </row>
    <row r="20" spans="1:11" ht="28.5" customHeight="1">
      <c r="A20" s="18"/>
      <c r="B20" s="16"/>
      <c r="C20" s="17"/>
      <c r="D20" s="15"/>
      <c r="E20" s="18"/>
      <c r="F20" s="21"/>
      <c r="G20" s="1"/>
      <c r="H20" s="1"/>
      <c r="I20" s="1"/>
      <c r="J20" s="1">
        <f>+G16+'Teaching (5)'!G136</f>
        <v>2752800</v>
      </c>
      <c r="K20" s="1"/>
    </row>
    <row r="21" spans="1:11" ht="28.5" hidden="1" customHeight="1">
      <c r="A21" s="119" t="s">
        <v>0</v>
      </c>
      <c r="B21" s="118"/>
      <c r="C21" s="118"/>
      <c r="D21" s="118"/>
      <c r="E21" s="118"/>
      <c r="F21" s="118"/>
      <c r="G21" s="1"/>
      <c r="H21" s="1"/>
      <c r="I21" s="1"/>
      <c r="J21" s="1"/>
      <c r="K21" s="1"/>
    </row>
    <row r="22" spans="1:11" ht="28.5" hidden="1" customHeight="1">
      <c r="A22" s="119" t="s">
        <v>379</v>
      </c>
      <c r="B22" s="118"/>
      <c r="C22" s="118"/>
      <c r="D22" s="118"/>
      <c r="E22" s="118"/>
      <c r="F22" s="118"/>
      <c r="G22" s="1"/>
      <c r="H22" s="1"/>
      <c r="I22" s="1"/>
      <c r="J22" s="1"/>
      <c r="K22" s="1"/>
    </row>
    <row r="23" spans="1:11" ht="41.25" hidden="1" customHeight="1">
      <c r="A23" s="17" t="s">
        <v>1</v>
      </c>
      <c r="B23" s="16" t="s">
        <v>2</v>
      </c>
      <c r="C23" s="17" t="s">
        <v>3</v>
      </c>
      <c r="D23" s="17" t="s">
        <v>4</v>
      </c>
      <c r="E23" s="17" t="s">
        <v>25</v>
      </c>
      <c r="F23" s="4" t="s">
        <v>26</v>
      </c>
      <c r="G23" s="1"/>
      <c r="H23" s="1"/>
      <c r="I23" s="1"/>
      <c r="J23" s="1"/>
      <c r="K23" s="1"/>
    </row>
    <row r="24" spans="1:11" ht="28.5" customHeight="1">
      <c r="A24" s="26"/>
      <c r="B24" s="27"/>
      <c r="C24" s="28"/>
      <c r="D24" s="26"/>
      <c r="E24" s="26"/>
      <c r="F24" s="29"/>
      <c r="G24" s="1"/>
      <c r="H24" s="1"/>
      <c r="I24" s="1"/>
      <c r="J24" s="1"/>
      <c r="K24" s="1"/>
    </row>
    <row r="25" spans="1:11" ht="28.5" customHeight="1">
      <c r="A25" s="1"/>
      <c r="B25" s="30"/>
      <c r="C25" s="31"/>
      <c r="D25" s="1"/>
      <c r="E25" s="1"/>
      <c r="F25" s="21"/>
      <c r="G25" s="1"/>
      <c r="H25" s="1"/>
      <c r="I25" s="1"/>
      <c r="J25" s="1"/>
      <c r="K25" s="1"/>
    </row>
    <row r="26" spans="1:11" ht="28.5" customHeight="1">
      <c r="A26" s="1"/>
      <c r="B26" s="30"/>
      <c r="C26" s="31"/>
      <c r="D26" s="1"/>
      <c r="E26" s="1"/>
      <c r="F26" s="21"/>
      <c r="G26" s="1"/>
      <c r="H26" s="1"/>
      <c r="I26" s="1"/>
      <c r="J26" s="1"/>
      <c r="K26" s="1"/>
    </row>
    <row r="27" spans="1:11" ht="28.5" customHeight="1">
      <c r="A27" s="1"/>
      <c r="B27" s="30"/>
      <c r="C27" s="31"/>
      <c r="D27" s="1"/>
      <c r="E27" s="1"/>
      <c r="F27" s="21"/>
      <c r="G27" s="1"/>
      <c r="H27" s="1"/>
      <c r="I27" s="1"/>
      <c r="J27" s="1"/>
      <c r="K27" s="1"/>
    </row>
    <row r="28" spans="1:11" ht="28.5" customHeight="1">
      <c r="A28" s="1"/>
      <c r="B28" s="30"/>
      <c r="C28" s="31"/>
      <c r="D28" s="1"/>
      <c r="E28" s="1"/>
      <c r="F28" s="21"/>
      <c r="G28" s="1"/>
      <c r="H28" s="1"/>
      <c r="I28" s="1"/>
      <c r="J28" s="1"/>
      <c r="K28" s="1"/>
    </row>
    <row r="29" spans="1:11" ht="28.5" customHeight="1">
      <c r="A29" s="1"/>
      <c r="B29" s="30"/>
      <c r="C29" s="31"/>
      <c r="D29" s="1"/>
      <c r="E29" s="1"/>
      <c r="F29" s="21"/>
      <c r="G29" s="1"/>
      <c r="H29" s="1"/>
      <c r="I29" s="1"/>
      <c r="J29" s="1"/>
      <c r="K29" s="1"/>
    </row>
    <row r="30" spans="1:11" ht="28.5" customHeight="1">
      <c r="A30" s="1"/>
      <c r="B30" s="30"/>
      <c r="C30" s="31"/>
      <c r="D30" s="1"/>
      <c r="E30" s="1"/>
      <c r="F30" s="21"/>
      <c r="G30" s="1"/>
      <c r="H30" s="1"/>
      <c r="I30" s="1"/>
      <c r="J30" s="1"/>
      <c r="K30" s="1"/>
    </row>
    <row r="31" spans="1:11" ht="28.5" customHeight="1">
      <c r="A31" s="1"/>
      <c r="B31" s="30"/>
      <c r="C31" s="31"/>
      <c r="D31" s="1"/>
      <c r="E31" s="1"/>
      <c r="F31" s="21"/>
      <c r="G31" s="1"/>
      <c r="H31" s="1"/>
      <c r="I31" s="1"/>
      <c r="J31" s="1"/>
      <c r="K31" s="1"/>
    </row>
    <row r="32" spans="1:11" ht="28.5" customHeight="1">
      <c r="A32" s="1"/>
      <c r="B32" s="30"/>
      <c r="C32" s="31"/>
      <c r="D32" s="1"/>
      <c r="E32" s="1"/>
      <c r="F32" s="21"/>
      <c r="G32" s="1"/>
      <c r="H32" s="1"/>
      <c r="I32" s="1"/>
      <c r="J32" s="1"/>
      <c r="K32" s="1"/>
    </row>
    <row r="33" spans="1:11" ht="28.5" customHeight="1">
      <c r="A33" s="1"/>
      <c r="B33" s="30"/>
      <c r="C33" s="31"/>
      <c r="D33" s="1"/>
      <c r="E33" s="1"/>
      <c r="F33" s="21"/>
      <c r="G33" s="1"/>
      <c r="H33" s="1"/>
      <c r="I33" s="1"/>
      <c r="J33" s="1"/>
      <c r="K33" s="1"/>
    </row>
    <row r="34" spans="1:11" ht="28.5" customHeight="1">
      <c r="A34" s="1"/>
      <c r="B34" s="30"/>
      <c r="C34" s="31"/>
      <c r="D34" s="1"/>
      <c r="E34" s="1"/>
      <c r="F34" s="21"/>
      <c r="G34" s="1"/>
      <c r="H34" s="1"/>
      <c r="I34" s="1"/>
      <c r="J34" s="1"/>
      <c r="K34" s="1"/>
    </row>
    <row r="35" spans="1:11" ht="28.5" customHeight="1">
      <c r="A35" s="1"/>
      <c r="B35" s="30"/>
      <c r="C35" s="31"/>
      <c r="D35" s="1"/>
      <c r="E35" s="1"/>
      <c r="F35" s="21"/>
      <c r="G35" s="1"/>
      <c r="H35" s="1"/>
      <c r="I35" s="1"/>
      <c r="J35" s="1"/>
      <c r="K35" s="1"/>
    </row>
    <row r="36" spans="1:11" ht="28.5" customHeight="1">
      <c r="A36" s="1"/>
      <c r="B36" s="30"/>
      <c r="C36" s="31"/>
      <c r="D36" s="1"/>
      <c r="E36" s="1"/>
      <c r="F36" s="21"/>
      <c r="G36" s="1"/>
      <c r="H36" s="1"/>
      <c r="I36" s="1"/>
      <c r="J36" s="1"/>
      <c r="K36" s="1"/>
    </row>
    <row r="37" spans="1:11" ht="28.5" customHeight="1">
      <c r="A37" s="1"/>
      <c r="B37" s="30"/>
      <c r="C37" s="31"/>
      <c r="D37" s="1"/>
      <c r="E37" s="1"/>
      <c r="F37" s="21"/>
      <c r="G37" s="1"/>
      <c r="H37" s="1"/>
      <c r="I37" s="1"/>
      <c r="J37" s="1"/>
      <c r="K37" s="1"/>
    </row>
    <row r="38" spans="1:11" ht="28.5" customHeight="1">
      <c r="A38" s="1"/>
      <c r="B38" s="30"/>
      <c r="C38" s="31"/>
      <c r="D38" s="1"/>
      <c r="E38" s="1"/>
      <c r="F38" s="21"/>
      <c r="G38" s="1"/>
      <c r="H38" s="1"/>
      <c r="I38" s="1"/>
      <c r="J38" s="1"/>
      <c r="K38" s="1"/>
    </row>
    <row r="39" spans="1:11" ht="28.5" customHeight="1">
      <c r="A39" s="1"/>
      <c r="B39" s="30"/>
      <c r="C39" s="31"/>
      <c r="D39" s="1"/>
      <c r="E39" s="1"/>
      <c r="F39" s="21"/>
      <c r="G39" s="1"/>
      <c r="H39" s="1"/>
      <c r="I39" s="1"/>
      <c r="J39" s="1"/>
      <c r="K39" s="1"/>
    </row>
    <row r="40" spans="1:11" ht="28.5" customHeight="1">
      <c r="A40" s="1"/>
      <c r="B40" s="30"/>
      <c r="C40" s="31"/>
      <c r="D40" s="1"/>
      <c r="E40" s="1"/>
      <c r="F40" s="21"/>
      <c r="G40" s="1"/>
      <c r="H40" s="1"/>
      <c r="I40" s="1"/>
      <c r="J40" s="1"/>
      <c r="K40" s="1"/>
    </row>
    <row r="41" spans="1:11" ht="28.5" customHeight="1">
      <c r="A41" s="1"/>
      <c r="B41" s="30"/>
      <c r="C41" s="31"/>
      <c r="D41" s="1"/>
      <c r="E41" s="1"/>
      <c r="F41" s="21"/>
      <c r="G41" s="1"/>
      <c r="H41" s="1"/>
      <c r="I41" s="1"/>
      <c r="J41" s="1"/>
      <c r="K41" s="1"/>
    </row>
    <row r="42" spans="1:11" ht="28.5" customHeight="1">
      <c r="A42" s="1"/>
      <c r="B42" s="30"/>
      <c r="C42" s="31"/>
      <c r="D42" s="1"/>
      <c r="E42" s="1"/>
      <c r="F42" s="21"/>
      <c r="G42" s="1"/>
      <c r="H42" s="1"/>
      <c r="I42" s="1"/>
      <c r="J42" s="1"/>
      <c r="K42" s="1"/>
    </row>
    <row r="43" spans="1:11" ht="28.5" customHeight="1">
      <c r="A43" s="1"/>
      <c r="B43" s="30"/>
      <c r="C43" s="31"/>
      <c r="D43" s="1"/>
      <c r="E43" s="1"/>
      <c r="F43" s="21"/>
      <c r="G43" s="1"/>
      <c r="H43" s="1"/>
      <c r="I43" s="1"/>
      <c r="J43" s="1"/>
      <c r="K43" s="1"/>
    </row>
    <row r="44" spans="1:11" ht="28.5" customHeight="1">
      <c r="A44" s="1"/>
      <c r="B44" s="30"/>
      <c r="C44" s="31"/>
      <c r="D44" s="1"/>
      <c r="E44" s="1"/>
      <c r="F44" s="21"/>
      <c r="G44" s="1"/>
      <c r="H44" s="1"/>
      <c r="I44" s="1"/>
      <c r="J44" s="1"/>
      <c r="K44" s="1"/>
    </row>
    <row r="45" spans="1:11" ht="28.5" customHeight="1">
      <c r="A45" s="1"/>
      <c r="B45" s="30"/>
      <c r="C45" s="31"/>
      <c r="D45" s="1"/>
      <c r="E45" s="1"/>
      <c r="F45" s="21"/>
      <c r="G45" s="1"/>
      <c r="H45" s="1"/>
      <c r="I45" s="1"/>
      <c r="J45" s="1"/>
      <c r="K45" s="1"/>
    </row>
    <row r="46" spans="1:11" ht="28.5" customHeight="1">
      <c r="A46" s="1"/>
      <c r="B46" s="30"/>
      <c r="C46" s="31"/>
      <c r="D46" s="1"/>
      <c r="E46" s="1"/>
      <c r="F46" s="21"/>
      <c r="G46" s="1"/>
      <c r="H46" s="1"/>
      <c r="I46" s="1"/>
      <c r="J46" s="1"/>
      <c r="K46" s="1"/>
    </row>
    <row r="47" spans="1:11" ht="28.5" customHeight="1">
      <c r="A47" s="1"/>
      <c r="B47" s="30"/>
      <c r="C47" s="31"/>
      <c r="D47" s="1"/>
      <c r="E47" s="1"/>
      <c r="F47" s="21"/>
      <c r="G47" s="1"/>
      <c r="H47" s="1"/>
      <c r="I47" s="1"/>
      <c r="J47" s="1"/>
      <c r="K47" s="1"/>
    </row>
    <row r="48" spans="1:11" ht="28.5" customHeight="1">
      <c r="A48" s="1"/>
      <c r="B48" s="30"/>
      <c r="C48" s="31"/>
      <c r="D48" s="1"/>
      <c r="E48" s="1"/>
      <c r="F48" s="21"/>
      <c r="G48" s="1"/>
      <c r="H48" s="1"/>
      <c r="I48" s="1"/>
      <c r="J48" s="1"/>
      <c r="K48" s="1"/>
    </row>
    <row r="49" spans="1:11" ht="28.5" customHeight="1">
      <c r="A49" s="1"/>
      <c r="B49" s="30"/>
      <c r="C49" s="31"/>
      <c r="D49" s="1"/>
      <c r="E49" s="1"/>
      <c r="F49" s="21"/>
      <c r="G49" s="1"/>
      <c r="H49" s="1"/>
      <c r="I49" s="1"/>
      <c r="J49" s="1"/>
      <c r="K49" s="1"/>
    </row>
    <row r="50" spans="1:11" ht="28.5" customHeight="1">
      <c r="A50" s="1"/>
      <c r="B50" s="30"/>
      <c r="C50" s="31"/>
      <c r="D50" s="1"/>
      <c r="E50" s="1"/>
      <c r="F50" s="21"/>
      <c r="G50" s="1"/>
      <c r="H50" s="1"/>
      <c r="I50" s="1"/>
      <c r="J50" s="1"/>
      <c r="K50" s="1"/>
    </row>
    <row r="51" spans="1:11" ht="28.5" customHeight="1">
      <c r="A51" s="1"/>
      <c r="B51" s="30"/>
      <c r="C51" s="31"/>
      <c r="D51" s="1"/>
      <c r="E51" s="1"/>
      <c r="F51" s="21"/>
      <c r="G51" s="1"/>
      <c r="H51" s="1"/>
      <c r="I51" s="1"/>
      <c r="J51" s="1"/>
      <c r="K51" s="1"/>
    </row>
    <row r="52" spans="1:11" ht="28.5" customHeight="1">
      <c r="A52" s="1"/>
      <c r="B52" s="30"/>
      <c r="C52" s="31"/>
      <c r="D52" s="1"/>
      <c r="E52" s="1"/>
      <c r="F52" s="21"/>
      <c r="G52" s="1"/>
      <c r="H52" s="1"/>
      <c r="I52" s="1"/>
      <c r="J52" s="1"/>
      <c r="K52" s="1"/>
    </row>
    <row r="53" spans="1:11" ht="28.5" customHeight="1">
      <c r="A53" s="1"/>
      <c r="B53" s="30"/>
      <c r="C53" s="31"/>
      <c r="D53" s="1"/>
      <c r="E53" s="1"/>
      <c r="F53" s="21"/>
      <c r="G53" s="1"/>
      <c r="H53" s="1"/>
      <c r="I53" s="1"/>
      <c r="J53" s="1"/>
      <c r="K53" s="1"/>
    </row>
    <row r="54" spans="1:11" ht="28.5" customHeight="1">
      <c r="A54" s="1"/>
      <c r="B54" s="30"/>
      <c r="C54" s="31"/>
      <c r="D54" s="1"/>
      <c r="E54" s="1"/>
      <c r="F54" s="21"/>
      <c r="G54" s="1"/>
      <c r="H54" s="1"/>
      <c r="I54" s="1"/>
      <c r="J54" s="1"/>
      <c r="K54" s="1"/>
    </row>
    <row r="55" spans="1:11" ht="28.5" customHeight="1">
      <c r="A55" s="1"/>
      <c r="B55" s="30"/>
      <c r="C55" s="31"/>
      <c r="D55" s="1"/>
      <c r="E55" s="1"/>
      <c r="F55" s="21"/>
      <c r="G55" s="1"/>
      <c r="H55" s="1"/>
      <c r="I55" s="1"/>
      <c r="J55" s="1"/>
      <c r="K55" s="1"/>
    </row>
    <row r="56" spans="1:11" ht="28.5" customHeight="1">
      <c r="A56" s="1"/>
      <c r="B56" s="30"/>
      <c r="C56" s="31"/>
      <c r="D56" s="1"/>
      <c r="E56" s="1"/>
      <c r="F56" s="21"/>
      <c r="G56" s="1"/>
      <c r="H56" s="1"/>
      <c r="I56" s="1"/>
      <c r="J56" s="1"/>
      <c r="K56" s="1"/>
    </row>
    <row r="57" spans="1:11" ht="28.5" customHeight="1">
      <c r="A57" s="1"/>
      <c r="B57" s="30"/>
      <c r="C57" s="31"/>
      <c r="D57" s="1"/>
      <c r="E57" s="1"/>
      <c r="F57" s="21"/>
      <c r="G57" s="1"/>
      <c r="H57" s="1"/>
      <c r="I57" s="1"/>
      <c r="J57" s="1"/>
      <c r="K57" s="1"/>
    </row>
    <row r="58" spans="1:11" ht="28.5" customHeight="1">
      <c r="A58" s="1"/>
      <c r="B58" s="30"/>
      <c r="C58" s="31"/>
      <c r="D58" s="1"/>
      <c r="E58" s="1"/>
      <c r="F58" s="21"/>
      <c r="G58" s="1"/>
      <c r="H58" s="1"/>
      <c r="I58" s="1"/>
      <c r="J58" s="1"/>
      <c r="K58" s="1"/>
    </row>
    <row r="59" spans="1:11" ht="28.5" customHeight="1">
      <c r="A59" s="1"/>
      <c r="B59" s="30"/>
      <c r="C59" s="31"/>
      <c r="D59" s="1"/>
      <c r="E59" s="1"/>
      <c r="F59" s="21"/>
      <c r="G59" s="1"/>
      <c r="H59" s="1"/>
      <c r="I59" s="1"/>
      <c r="J59" s="1"/>
      <c r="K59" s="1"/>
    </row>
    <row r="60" spans="1:11" ht="28.5" customHeight="1">
      <c r="A60" s="1"/>
      <c r="B60" s="30"/>
      <c r="C60" s="31"/>
      <c r="D60" s="1"/>
      <c r="E60" s="1"/>
      <c r="F60" s="21"/>
      <c r="G60" s="1"/>
      <c r="H60" s="1"/>
      <c r="I60" s="1"/>
      <c r="J60" s="1"/>
      <c r="K60" s="1"/>
    </row>
    <row r="61" spans="1:11" ht="28.5" customHeight="1">
      <c r="A61" s="1"/>
      <c r="B61" s="30"/>
      <c r="C61" s="31"/>
      <c r="D61" s="1"/>
      <c r="E61" s="1"/>
      <c r="F61" s="21"/>
      <c r="G61" s="1"/>
      <c r="H61" s="1"/>
      <c r="I61" s="1"/>
      <c r="J61" s="1"/>
      <c r="K61" s="1"/>
    </row>
    <row r="62" spans="1:11" ht="28.5" customHeight="1">
      <c r="A62" s="1"/>
      <c r="B62" s="30"/>
      <c r="C62" s="31"/>
      <c r="D62" s="1"/>
      <c r="E62" s="1"/>
      <c r="F62" s="21"/>
      <c r="G62" s="1"/>
      <c r="H62" s="1"/>
      <c r="I62" s="1"/>
      <c r="J62" s="1"/>
      <c r="K62" s="1"/>
    </row>
    <row r="63" spans="1:11" ht="28.5" customHeight="1">
      <c r="A63" s="1"/>
      <c r="B63" s="30"/>
      <c r="C63" s="31"/>
      <c r="D63" s="1"/>
      <c r="E63" s="1"/>
      <c r="F63" s="21"/>
      <c r="G63" s="1"/>
      <c r="H63" s="1"/>
      <c r="I63" s="1"/>
      <c r="J63" s="1"/>
      <c r="K63" s="1"/>
    </row>
    <row r="64" spans="1:11" ht="28.5" customHeight="1">
      <c r="A64" s="1"/>
      <c r="B64" s="30"/>
      <c r="C64" s="31"/>
      <c r="D64" s="1"/>
      <c r="E64" s="1"/>
      <c r="F64" s="21"/>
      <c r="G64" s="1"/>
      <c r="H64" s="1"/>
      <c r="I64" s="1"/>
      <c r="J64" s="1"/>
      <c r="K64" s="1"/>
    </row>
    <row r="65" spans="1:11" ht="28.5" customHeight="1">
      <c r="A65" s="1"/>
      <c r="B65" s="30"/>
      <c r="C65" s="31"/>
      <c r="D65" s="1"/>
      <c r="E65" s="1"/>
      <c r="F65" s="21"/>
      <c r="G65" s="1"/>
      <c r="H65" s="1"/>
      <c r="I65" s="1"/>
      <c r="J65" s="1"/>
      <c r="K65" s="1"/>
    </row>
    <row r="66" spans="1:11" ht="28.5" customHeight="1">
      <c r="A66" s="1"/>
      <c r="B66" s="30"/>
      <c r="C66" s="31"/>
      <c r="D66" s="1"/>
      <c r="E66" s="1"/>
      <c r="F66" s="21"/>
      <c r="G66" s="1"/>
      <c r="H66" s="1"/>
      <c r="I66" s="1"/>
      <c r="J66" s="1"/>
      <c r="K66" s="1"/>
    </row>
    <row r="67" spans="1:11" ht="28.5" customHeight="1">
      <c r="A67" s="1"/>
      <c r="B67" s="30"/>
      <c r="C67" s="31"/>
      <c r="D67" s="1"/>
      <c r="E67" s="1"/>
      <c r="F67" s="21"/>
      <c r="G67" s="1"/>
      <c r="H67" s="1"/>
      <c r="I67" s="1"/>
      <c r="J67" s="1"/>
      <c r="K67" s="1"/>
    </row>
    <row r="68" spans="1:11" ht="28.5" customHeight="1">
      <c r="A68" s="1"/>
      <c r="B68" s="30"/>
      <c r="C68" s="31"/>
      <c r="D68" s="1"/>
      <c r="E68" s="1"/>
      <c r="F68" s="21"/>
      <c r="G68" s="1"/>
      <c r="H68" s="1"/>
      <c r="I68" s="1"/>
      <c r="J68" s="1"/>
      <c r="K68" s="1"/>
    </row>
    <row r="69" spans="1:11" ht="28.5" customHeight="1">
      <c r="A69" s="1"/>
      <c r="B69" s="30"/>
      <c r="C69" s="31"/>
      <c r="D69" s="1"/>
      <c r="E69" s="1"/>
      <c r="F69" s="21"/>
      <c r="G69" s="1"/>
      <c r="H69" s="1"/>
      <c r="I69" s="1"/>
      <c r="J69" s="1"/>
      <c r="K69" s="1"/>
    </row>
    <row r="70" spans="1:11" ht="28.5" customHeight="1">
      <c r="A70" s="1"/>
      <c r="B70" s="30"/>
      <c r="C70" s="31"/>
      <c r="D70" s="1"/>
      <c r="E70" s="1"/>
      <c r="F70" s="21"/>
      <c r="G70" s="1"/>
      <c r="H70" s="1"/>
      <c r="I70" s="1"/>
      <c r="J70" s="1"/>
      <c r="K70" s="1"/>
    </row>
    <row r="71" spans="1:11" ht="28.5" customHeight="1">
      <c r="A71" s="1"/>
      <c r="B71" s="30"/>
      <c r="C71" s="31"/>
      <c r="D71" s="1"/>
      <c r="E71" s="1"/>
      <c r="F71" s="21"/>
      <c r="G71" s="1"/>
      <c r="H71" s="1"/>
      <c r="I71" s="1"/>
      <c r="J71" s="1"/>
      <c r="K71" s="1"/>
    </row>
    <row r="72" spans="1:11" ht="28.5" customHeight="1">
      <c r="A72" s="1"/>
      <c r="B72" s="30"/>
      <c r="C72" s="31"/>
      <c r="D72" s="1"/>
      <c r="E72" s="1"/>
      <c r="F72" s="21"/>
      <c r="G72" s="1"/>
      <c r="H72" s="1"/>
      <c r="I72" s="1"/>
      <c r="J72" s="1"/>
      <c r="K72" s="1"/>
    </row>
    <row r="73" spans="1:11" ht="28.5" customHeight="1">
      <c r="A73" s="1"/>
      <c r="B73" s="30"/>
      <c r="C73" s="31"/>
      <c r="D73" s="1"/>
      <c r="E73" s="1"/>
      <c r="F73" s="21"/>
      <c r="G73" s="1"/>
      <c r="H73" s="1"/>
      <c r="I73" s="1"/>
      <c r="J73" s="1"/>
      <c r="K73" s="1"/>
    </row>
    <row r="74" spans="1:11" ht="28.5" customHeight="1">
      <c r="A74" s="1"/>
      <c r="B74" s="30"/>
      <c r="C74" s="31"/>
      <c r="D74" s="1"/>
      <c r="E74" s="1"/>
      <c r="F74" s="21"/>
      <c r="G74" s="1"/>
      <c r="H74" s="1"/>
      <c r="I74" s="1"/>
      <c r="J74" s="1"/>
      <c r="K74" s="1"/>
    </row>
    <row r="75" spans="1:11" ht="28.5" customHeight="1">
      <c r="A75" s="1"/>
      <c r="B75" s="30"/>
      <c r="C75" s="31"/>
      <c r="D75" s="1"/>
      <c r="E75" s="1"/>
      <c r="F75" s="21"/>
      <c r="G75" s="1"/>
      <c r="H75" s="1"/>
      <c r="I75" s="1"/>
      <c r="J75" s="1"/>
      <c r="K75" s="1"/>
    </row>
    <row r="76" spans="1:11" ht="28.5" customHeight="1">
      <c r="A76" s="1"/>
      <c r="B76" s="30"/>
      <c r="C76" s="31"/>
      <c r="D76" s="1"/>
      <c r="E76" s="1"/>
      <c r="F76" s="21"/>
      <c r="G76" s="1"/>
      <c r="H76" s="1"/>
      <c r="I76" s="1"/>
      <c r="J76" s="1"/>
      <c r="K76" s="1"/>
    </row>
    <row r="77" spans="1:11" ht="28.5" customHeight="1">
      <c r="A77" s="1"/>
      <c r="B77" s="30"/>
      <c r="C77" s="31"/>
      <c r="D77" s="1"/>
      <c r="E77" s="1"/>
      <c r="F77" s="21"/>
      <c r="G77" s="1"/>
      <c r="H77" s="1"/>
      <c r="I77" s="1"/>
      <c r="J77" s="1"/>
      <c r="K77" s="1"/>
    </row>
    <row r="78" spans="1:11" ht="28.5" customHeight="1">
      <c r="A78" s="1"/>
      <c r="B78" s="30"/>
      <c r="C78" s="31"/>
      <c r="D78" s="1"/>
      <c r="E78" s="1"/>
      <c r="F78" s="21"/>
      <c r="G78" s="1"/>
      <c r="H78" s="1"/>
      <c r="I78" s="1"/>
      <c r="J78" s="1"/>
      <c r="K78" s="1"/>
    </row>
    <row r="79" spans="1:11" ht="28.5" customHeight="1">
      <c r="A79" s="1"/>
      <c r="B79" s="30"/>
      <c r="C79" s="31"/>
      <c r="D79" s="1"/>
      <c r="E79" s="1"/>
      <c r="F79" s="21"/>
      <c r="G79" s="1"/>
      <c r="H79" s="1"/>
      <c r="I79" s="1"/>
      <c r="J79" s="1"/>
      <c r="K79" s="1"/>
    </row>
    <row r="80" spans="1:11" ht="28.5" customHeight="1">
      <c r="A80" s="1"/>
      <c r="B80" s="30"/>
      <c r="C80" s="31"/>
      <c r="D80" s="1"/>
      <c r="E80" s="1"/>
      <c r="F80" s="21"/>
      <c r="G80" s="1"/>
      <c r="H80" s="1"/>
      <c r="I80" s="1"/>
      <c r="J80" s="1"/>
      <c r="K80" s="1"/>
    </row>
    <row r="81" spans="1:11" ht="28.5" customHeight="1">
      <c r="A81" s="1"/>
      <c r="B81" s="30"/>
      <c r="C81" s="31"/>
      <c r="D81" s="1"/>
      <c r="E81" s="1"/>
      <c r="F81" s="21"/>
      <c r="G81" s="1"/>
      <c r="H81" s="1"/>
      <c r="I81" s="1"/>
      <c r="J81" s="1"/>
      <c r="K81" s="1"/>
    </row>
    <row r="82" spans="1:11" ht="28.5" customHeight="1">
      <c r="A82" s="1"/>
      <c r="B82" s="30"/>
      <c r="C82" s="31"/>
      <c r="D82" s="1"/>
      <c r="E82" s="1"/>
      <c r="F82" s="21"/>
      <c r="G82" s="1"/>
      <c r="H82" s="1"/>
      <c r="I82" s="1"/>
      <c r="J82" s="1"/>
      <c r="K82" s="1"/>
    </row>
    <row r="83" spans="1:11" ht="28.5" customHeight="1">
      <c r="A83" s="1"/>
      <c r="B83" s="30"/>
      <c r="C83" s="31"/>
      <c r="D83" s="1"/>
      <c r="E83" s="1"/>
      <c r="F83" s="21"/>
      <c r="G83" s="1"/>
      <c r="H83" s="1"/>
      <c r="I83" s="1"/>
      <c r="J83" s="1"/>
      <c r="K83" s="1"/>
    </row>
    <row r="84" spans="1:11" ht="28.5" customHeight="1">
      <c r="A84" s="1"/>
      <c r="B84" s="30"/>
      <c r="C84" s="31"/>
      <c r="D84" s="1"/>
      <c r="E84" s="1"/>
      <c r="F84" s="21"/>
      <c r="G84" s="1"/>
      <c r="H84" s="1"/>
      <c r="I84" s="1"/>
      <c r="J84" s="1"/>
      <c r="K84" s="1"/>
    </row>
    <row r="85" spans="1:11" ht="28.5" customHeight="1">
      <c r="A85" s="1"/>
      <c r="B85" s="30"/>
      <c r="C85" s="31"/>
      <c r="D85" s="1"/>
      <c r="E85" s="1"/>
      <c r="F85" s="21"/>
      <c r="G85" s="1"/>
      <c r="H85" s="1"/>
      <c r="I85" s="1"/>
      <c r="J85" s="1"/>
      <c r="K85" s="1"/>
    </row>
    <row r="86" spans="1:11" ht="28.5" customHeight="1">
      <c r="A86" s="1"/>
      <c r="B86" s="30"/>
      <c r="C86" s="31"/>
      <c r="D86" s="1"/>
      <c r="E86" s="1"/>
      <c r="F86" s="21"/>
      <c r="G86" s="1"/>
      <c r="H86" s="1"/>
      <c r="I86" s="1"/>
      <c r="J86" s="1"/>
      <c r="K86" s="1"/>
    </row>
    <row r="87" spans="1:11" ht="28.5" customHeight="1">
      <c r="A87" s="1"/>
      <c r="B87" s="30"/>
      <c r="C87" s="31"/>
      <c r="D87" s="1"/>
      <c r="E87" s="1"/>
      <c r="F87" s="21"/>
      <c r="G87" s="1"/>
      <c r="H87" s="1"/>
      <c r="I87" s="1"/>
      <c r="J87" s="1"/>
      <c r="K87" s="1"/>
    </row>
    <row r="88" spans="1:11" ht="28.5" customHeight="1">
      <c r="A88" s="1"/>
      <c r="B88" s="30"/>
      <c r="C88" s="31"/>
      <c r="D88" s="1"/>
      <c r="E88" s="1"/>
      <c r="F88" s="21"/>
      <c r="G88" s="1"/>
      <c r="H88" s="1"/>
      <c r="I88" s="1"/>
      <c r="J88" s="1"/>
      <c r="K88" s="1"/>
    </row>
    <row r="89" spans="1:11" ht="28.5" customHeight="1">
      <c r="A89" s="1"/>
      <c r="B89" s="30"/>
      <c r="C89" s="31"/>
      <c r="D89" s="1"/>
      <c r="E89" s="1"/>
      <c r="F89" s="21"/>
      <c r="G89" s="1"/>
      <c r="H89" s="1"/>
      <c r="I89" s="1"/>
      <c r="J89" s="1"/>
      <c r="K89" s="1"/>
    </row>
    <row r="90" spans="1:11" ht="28.5" customHeight="1">
      <c r="A90" s="1"/>
      <c r="B90" s="30"/>
      <c r="C90" s="31"/>
      <c r="D90" s="1"/>
      <c r="E90" s="1"/>
      <c r="F90" s="21"/>
      <c r="G90" s="1"/>
      <c r="H90" s="1"/>
      <c r="I90" s="1"/>
      <c r="J90" s="1"/>
      <c r="K90" s="1"/>
    </row>
    <row r="91" spans="1:11" ht="28.5" customHeight="1">
      <c r="A91" s="1"/>
      <c r="B91" s="30"/>
      <c r="C91" s="31"/>
      <c r="D91" s="1"/>
      <c r="E91" s="1"/>
      <c r="F91" s="21"/>
      <c r="G91" s="1"/>
      <c r="H91" s="1"/>
      <c r="I91" s="1"/>
      <c r="J91" s="1"/>
      <c r="K91" s="1"/>
    </row>
    <row r="92" spans="1:11" ht="28.5" customHeight="1">
      <c r="A92" s="1"/>
      <c r="B92" s="30"/>
      <c r="C92" s="31"/>
      <c r="D92" s="1"/>
      <c r="E92" s="1"/>
      <c r="F92" s="21"/>
      <c r="G92" s="1"/>
      <c r="H92" s="1"/>
      <c r="I92" s="1"/>
      <c r="J92" s="1"/>
      <c r="K92" s="1"/>
    </row>
    <row r="93" spans="1:11" ht="28.5" customHeight="1">
      <c r="A93" s="1"/>
      <c r="B93" s="30"/>
      <c r="C93" s="31"/>
      <c r="D93" s="1"/>
      <c r="E93" s="1"/>
      <c r="F93" s="21"/>
      <c r="G93" s="1"/>
      <c r="H93" s="1"/>
      <c r="I93" s="1"/>
      <c r="J93" s="1"/>
      <c r="K93" s="1"/>
    </row>
    <row r="94" spans="1:11" ht="28.5" customHeight="1">
      <c r="A94" s="1"/>
      <c r="B94" s="30"/>
      <c r="C94" s="31"/>
      <c r="D94" s="1"/>
      <c r="E94" s="1"/>
      <c r="F94" s="21"/>
      <c r="G94" s="1"/>
      <c r="H94" s="1"/>
      <c r="I94" s="1"/>
      <c r="J94" s="1"/>
      <c r="K94" s="1"/>
    </row>
    <row r="95" spans="1:11" ht="28.5" customHeight="1">
      <c r="A95" s="1"/>
      <c r="B95" s="30"/>
      <c r="C95" s="31"/>
      <c r="D95" s="1"/>
      <c r="E95" s="1"/>
      <c r="F95" s="21"/>
      <c r="G95" s="1"/>
      <c r="H95" s="1"/>
      <c r="I95" s="1"/>
      <c r="J95" s="1"/>
      <c r="K95" s="1"/>
    </row>
    <row r="96" spans="1:11" ht="28.5" customHeight="1">
      <c r="A96" s="1"/>
      <c r="B96" s="30"/>
      <c r="C96" s="31"/>
      <c r="D96" s="1"/>
      <c r="E96" s="1"/>
      <c r="F96" s="21"/>
      <c r="G96" s="1"/>
      <c r="H96" s="1"/>
      <c r="I96" s="1"/>
      <c r="J96" s="1"/>
      <c r="K96" s="1"/>
    </row>
    <row r="97" spans="1:11" ht="28.5" customHeight="1">
      <c r="A97" s="1"/>
      <c r="B97" s="30"/>
      <c r="C97" s="31"/>
      <c r="D97" s="1"/>
      <c r="E97" s="1"/>
      <c r="F97" s="21"/>
      <c r="G97" s="1"/>
      <c r="H97" s="1"/>
      <c r="I97" s="1"/>
      <c r="J97" s="1"/>
      <c r="K97" s="1"/>
    </row>
    <row r="98" spans="1:11" ht="28.5" customHeight="1">
      <c r="A98" s="1"/>
      <c r="B98" s="30"/>
      <c r="C98" s="31"/>
      <c r="D98" s="1"/>
      <c r="E98" s="1"/>
      <c r="F98" s="21"/>
      <c r="G98" s="1"/>
      <c r="H98" s="1"/>
      <c r="I98" s="1"/>
      <c r="J98" s="1"/>
      <c r="K98" s="1"/>
    </row>
    <row r="99" spans="1:11" ht="28.5" customHeight="1">
      <c r="A99" s="1"/>
      <c r="B99" s="30"/>
      <c r="C99" s="31"/>
      <c r="D99" s="1"/>
      <c r="E99" s="1"/>
      <c r="F99" s="21"/>
      <c r="G99" s="1"/>
      <c r="H99" s="1"/>
      <c r="I99" s="1"/>
      <c r="J99" s="1"/>
      <c r="K99" s="1"/>
    </row>
    <row r="100" spans="1:11" ht="28.5" customHeight="1">
      <c r="A100" s="1"/>
      <c r="B100" s="30"/>
      <c r="C100" s="31"/>
      <c r="D100" s="1"/>
      <c r="E100" s="1"/>
      <c r="F100" s="21"/>
      <c r="G100" s="1"/>
      <c r="H100" s="1"/>
      <c r="I100" s="1"/>
      <c r="J100" s="1"/>
      <c r="K100" s="1"/>
    </row>
  </sheetData>
  <autoFilter ref="A1:F16" xr:uid="{00000000-0009-0000-0000-000003000000}"/>
  <mergeCells count="4">
    <mergeCell ref="A1:F1"/>
    <mergeCell ref="A2:F2"/>
    <mergeCell ref="A21:F21"/>
    <mergeCell ref="A22:F22"/>
  </mergeCells>
  <printOptions horizontalCentered="1" gridLines="1"/>
  <pageMargins left="7.8740157480315001E-2" right="7.8740157480315001E-2" top="0.196850393700787" bottom="0.23622047244094499" header="0" footer="0"/>
  <pageSetup paperSize="5" scale="56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K100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/>
  <cols>
    <col min="1" max="1" width="5.5703125" customWidth="1"/>
    <col min="2" max="2" width="29.140625" customWidth="1"/>
    <col min="3" max="4" width="10.85546875" customWidth="1"/>
    <col min="5" max="5" width="16" customWidth="1"/>
    <col min="6" max="6" width="19.85546875" customWidth="1"/>
    <col min="7" max="11" width="9.140625" customWidth="1"/>
  </cols>
  <sheetData>
    <row r="1" spans="1:11" ht="18" customHeight="1">
      <c r="A1" s="117" t="s">
        <v>0</v>
      </c>
      <c r="B1" s="118"/>
      <c r="C1" s="118"/>
      <c r="D1" s="118"/>
      <c r="E1" s="118"/>
      <c r="F1" s="118"/>
      <c r="G1" s="1"/>
      <c r="H1" s="1"/>
      <c r="I1" s="1"/>
      <c r="J1" s="1"/>
      <c r="K1" s="1"/>
    </row>
    <row r="2" spans="1:11" ht="22.5" customHeight="1">
      <c r="A2" s="117" t="s">
        <v>135</v>
      </c>
      <c r="B2" s="118"/>
      <c r="C2" s="118"/>
      <c r="D2" s="118"/>
      <c r="E2" s="118"/>
      <c r="F2" s="118"/>
      <c r="G2" s="1"/>
      <c r="H2" s="1"/>
      <c r="I2" s="1"/>
      <c r="J2" s="1"/>
      <c r="K2" s="1"/>
    </row>
    <row r="3" spans="1:11" ht="28.5" customHeight="1">
      <c r="A3" s="2" t="s">
        <v>1</v>
      </c>
      <c r="B3" s="3" t="s">
        <v>2</v>
      </c>
      <c r="C3" s="2" t="s">
        <v>3</v>
      </c>
      <c r="D3" s="2" t="s">
        <v>4</v>
      </c>
      <c r="E3" s="2" t="s">
        <v>25</v>
      </c>
      <c r="F3" s="4" t="s">
        <v>26</v>
      </c>
      <c r="G3" s="1"/>
      <c r="H3" s="1"/>
      <c r="I3" s="1"/>
      <c r="J3" s="1"/>
      <c r="K3" s="1"/>
    </row>
    <row r="4" spans="1:11" ht="21.75" customHeight="1">
      <c r="A4" s="5"/>
      <c r="B4" s="3" t="s">
        <v>28</v>
      </c>
      <c r="C4" s="2"/>
      <c r="D4" s="5"/>
      <c r="E4" s="5"/>
      <c r="F4" s="2"/>
      <c r="G4" s="1"/>
      <c r="H4" s="1"/>
      <c r="I4" s="1"/>
      <c r="J4" s="1"/>
      <c r="K4" s="1"/>
    </row>
    <row r="5" spans="1:11" ht="28.5" customHeight="1">
      <c r="A5" s="6">
        <v>17</v>
      </c>
      <c r="B5" s="7" t="s">
        <v>159</v>
      </c>
      <c r="C5" s="8" t="s">
        <v>41</v>
      </c>
      <c r="D5" s="6">
        <v>44332</v>
      </c>
      <c r="E5" s="8">
        <v>44057</v>
      </c>
      <c r="F5" s="42" t="s">
        <v>160</v>
      </c>
      <c r="G5" s="9">
        <f t="shared" ref="G5:G14" si="0">ROUND(E5/2,0)</f>
        <v>22029</v>
      </c>
      <c r="H5" s="9"/>
      <c r="I5" s="9"/>
      <c r="J5" s="9"/>
      <c r="K5" s="9"/>
    </row>
    <row r="6" spans="1:11" ht="28.5" customHeight="1">
      <c r="A6" s="6">
        <v>44</v>
      </c>
      <c r="B6" s="10" t="s">
        <v>200</v>
      </c>
      <c r="C6" s="8" t="s">
        <v>41</v>
      </c>
      <c r="D6" s="6">
        <v>70000</v>
      </c>
      <c r="E6" s="8">
        <v>69725</v>
      </c>
      <c r="F6" s="42" t="s">
        <v>201</v>
      </c>
      <c r="G6" s="9">
        <f t="shared" si="0"/>
        <v>34863</v>
      </c>
      <c r="H6" s="9"/>
      <c r="I6" s="9"/>
      <c r="J6" s="9"/>
      <c r="K6" s="9"/>
    </row>
    <row r="7" spans="1:11" ht="28.5" customHeight="1">
      <c r="A7" s="6">
        <v>51</v>
      </c>
      <c r="B7" s="7" t="s">
        <v>209</v>
      </c>
      <c r="C7" s="8" t="s">
        <v>41</v>
      </c>
      <c r="D7" s="6">
        <v>38000</v>
      </c>
      <c r="E7" s="8">
        <v>37725</v>
      </c>
      <c r="F7" s="42" t="s">
        <v>210</v>
      </c>
      <c r="G7" s="9">
        <f t="shared" si="0"/>
        <v>18863</v>
      </c>
      <c r="H7" s="9"/>
      <c r="I7" s="9"/>
      <c r="J7" s="9"/>
      <c r="K7" s="9"/>
    </row>
    <row r="8" spans="1:11" ht="28.5" customHeight="1">
      <c r="A8" s="6">
        <v>57</v>
      </c>
      <c r="B8" s="7" t="s">
        <v>220</v>
      </c>
      <c r="C8" s="8" t="s">
        <v>38</v>
      </c>
      <c r="D8" s="6">
        <v>59890</v>
      </c>
      <c r="E8" s="8">
        <v>59615</v>
      </c>
      <c r="F8" s="42" t="s">
        <v>60</v>
      </c>
      <c r="G8" s="9">
        <f t="shared" si="0"/>
        <v>29808</v>
      </c>
      <c r="H8" s="9"/>
      <c r="I8" s="9"/>
      <c r="J8" s="9"/>
      <c r="K8" s="9"/>
    </row>
    <row r="9" spans="1:11" ht="28.5" customHeight="1">
      <c r="A9" s="6">
        <v>71</v>
      </c>
      <c r="B9" s="7" t="s">
        <v>243</v>
      </c>
      <c r="C9" s="8" t="s">
        <v>41</v>
      </c>
      <c r="D9" s="6">
        <v>90000</v>
      </c>
      <c r="E9" s="8">
        <v>89725</v>
      </c>
      <c r="F9" s="6"/>
      <c r="G9" s="9">
        <f t="shared" si="0"/>
        <v>44863</v>
      </c>
      <c r="H9" s="9"/>
      <c r="I9" s="9"/>
      <c r="J9" s="9"/>
      <c r="K9" s="9"/>
    </row>
    <row r="10" spans="1:11" ht="28.5" customHeight="1">
      <c r="A10" s="11">
        <v>78</v>
      </c>
      <c r="B10" s="12" t="s">
        <v>256</v>
      </c>
      <c r="C10" s="13" t="s">
        <v>38</v>
      </c>
      <c r="D10" s="11">
        <v>35000</v>
      </c>
      <c r="E10" s="13">
        <v>34725</v>
      </c>
      <c r="F10" s="44" t="s">
        <v>257</v>
      </c>
      <c r="G10" s="14">
        <f t="shared" si="0"/>
        <v>17363</v>
      </c>
      <c r="H10" s="14"/>
      <c r="I10" s="14"/>
      <c r="J10" s="14"/>
      <c r="K10" s="14"/>
    </row>
    <row r="11" spans="1:11" ht="28.5" customHeight="1">
      <c r="A11" s="6">
        <v>86</v>
      </c>
      <c r="B11" s="7" t="s">
        <v>273</v>
      </c>
      <c r="C11" s="8" t="s">
        <v>38</v>
      </c>
      <c r="D11" s="6">
        <v>65000</v>
      </c>
      <c r="E11" s="8">
        <v>64725</v>
      </c>
      <c r="F11" s="42" t="s">
        <v>274</v>
      </c>
      <c r="G11" s="9">
        <f t="shared" si="0"/>
        <v>32363</v>
      </c>
      <c r="H11" s="9"/>
      <c r="I11" s="9"/>
      <c r="J11" s="9"/>
      <c r="K11" s="9"/>
    </row>
    <row r="12" spans="1:11" ht="28.5" customHeight="1">
      <c r="A12" s="11">
        <v>92</v>
      </c>
      <c r="B12" s="12" t="s">
        <v>285</v>
      </c>
      <c r="C12" s="13" t="s">
        <v>44</v>
      </c>
      <c r="D12" s="11">
        <v>36000</v>
      </c>
      <c r="E12" s="13">
        <v>35725</v>
      </c>
      <c r="F12" s="44" t="s">
        <v>286</v>
      </c>
      <c r="G12" s="14">
        <f t="shared" si="0"/>
        <v>17863</v>
      </c>
      <c r="H12" s="14"/>
      <c r="I12" s="14"/>
      <c r="J12" s="14"/>
      <c r="K12" s="14"/>
    </row>
    <row r="13" spans="1:11" ht="28.5" customHeight="1">
      <c r="A13" s="11">
        <v>93</v>
      </c>
      <c r="B13" s="12" t="s">
        <v>287</v>
      </c>
      <c r="C13" s="13" t="s">
        <v>44</v>
      </c>
      <c r="D13" s="11">
        <v>35000</v>
      </c>
      <c r="E13" s="13">
        <v>34725</v>
      </c>
      <c r="F13" s="44" t="s">
        <v>288</v>
      </c>
      <c r="G13" s="14">
        <f t="shared" si="0"/>
        <v>17363</v>
      </c>
      <c r="H13" s="14"/>
      <c r="I13" s="14"/>
      <c r="J13" s="14"/>
      <c r="K13" s="14"/>
    </row>
    <row r="14" spans="1:11" ht="28.5" customHeight="1">
      <c r="A14" s="11">
        <v>121</v>
      </c>
      <c r="B14" s="12" t="s">
        <v>333</v>
      </c>
      <c r="C14" s="13" t="s">
        <v>334</v>
      </c>
      <c r="D14" s="11">
        <v>15000</v>
      </c>
      <c r="E14" s="11">
        <v>15000</v>
      </c>
      <c r="F14" s="44" t="s">
        <v>335</v>
      </c>
      <c r="G14" s="14">
        <f t="shared" si="0"/>
        <v>7500</v>
      </c>
      <c r="H14" s="14"/>
      <c r="I14" s="14"/>
      <c r="J14" s="14"/>
      <c r="K14" s="14"/>
    </row>
    <row r="15" spans="1:11" ht="28.5" customHeight="1">
      <c r="A15" s="15"/>
      <c r="B15" s="16" t="s">
        <v>8</v>
      </c>
      <c r="C15" s="17"/>
      <c r="D15" s="17">
        <f t="shared" ref="D15:E15" si="1">SUM(D5:D14)</f>
        <v>488222</v>
      </c>
      <c r="E15" s="17">
        <f t="shared" si="1"/>
        <v>485747</v>
      </c>
      <c r="F15" s="17"/>
      <c r="G15" s="5">
        <f>SUM(G5:G14)</f>
        <v>242878</v>
      </c>
      <c r="H15" s="5"/>
      <c r="I15" s="5"/>
      <c r="J15" s="5"/>
      <c r="K15" s="5"/>
    </row>
    <row r="16" spans="1:11" ht="28.5" customHeight="1">
      <c r="A16" s="18"/>
      <c r="B16" s="19"/>
      <c r="C16" s="19"/>
      <c r="D16" s="20"/>
      <c r="E16" s="18"/>
      <c r="F16" s="21"/>
      <c r="G16" s="1"/>
      <c r="H16" s="1"/>
      <c r="I16" s="1"/>
      <c r="J16" s="1"/>
      <c r="K16" s="1"/>
    </row>
    <row r="17" spans="1:11" ht="28.5" customHeight="1">
      <c r="A17" s="22">
        <v>10</v>
      </c>
      <c r="B17" s="23" t="s">
        <v>148</v>
      </c>
      <c r="C17" s="24" t="s">
        <v>38</v>
      </c>
      <c r="D17" s="24">
        <v>23000</v>
      </c>
      <c r="E17" s="24">
        <v>22725</v>
      </c>
      <c r="F17" s="39" t="s">
        <v>149</v>
      </c>
      <c r="G17" s="25">
        <f>ROUND(E17/2,0)</f>
        <v>11363</v>
      </c>
      <c r="H17" s="25"/>
      <c r="I17" s="25"/>
      <c r="J17" s="25"/>
      <c r="K17" s="25"/>
    </row>
    <row r="18" spans="1:11" ht="28.5" customHeight="1">
      <c r="A18" s="18"/>
      <c r="B18" s="16"/>
      <c r="C18" s="17"/>
      <c r="D18" s="15"/>
      <c r="E18" s="18"/>
      <c r="F18" s="21"/>
      <c r="G18" s="1"/>
      <c r="H18" s="1"/>
      <c r="I18" s="1"/>
      <c r="J18" s="1"/>
      <c r="K18" s="1"/>
    </row>
    <row r="19" spans="1:11" ht="28.5" customHeight="1">
      <c r="A19" s="18"/>
      <c r="B19" s="16"/>
      <c r="C19" s="17"/>
      <c r="D19" s="15"/>
      <c r="E19" s="18"/>
      <c r="F19" s="21"/>
      <c r="G19" s="1"/>
      <c r="H19" s="1"/>
      <c r="I19" s="1"/>
      <c r="J19" s="1"/>
      <c r="K19" s="1"/>
    </row>
    <row r="20" spans="1:11" ht="28.5" hidden="1" customHeight="1">
      <c r="A20" s="119" t="s">
        <v>0</v>
      </c>
      <c r="B20" s="118"/>
      <c r="C20" s="118"/>
      <c r="D20" s="118"/>
      <c r="E20" s="118"/>
      <c r="F20" s="118"/>
      <c r="G20" s="1"/>
      <c r="H20" s="1"/>
      <c r="I20" s="1"/>
      <c r="J20" s="1"/>
      <c r="K20" s="1"/>
    </row>
    <row r="21" spans="1:11" ht="28.5" hidden="1" customHeight="1">
      <c r="A21" s="119" t="s">
        <v>379</v>
      </c>
      <c r="B21" s="118"/>
      <c r="C21" s="118"/>
      <c r="D21" s="118"/>
      <c r="E21" s="118"/>
      <c r="F21" s="118"/>
      <c r="G21" s="1"/>
      <c r="H21" s="1"/>
      <c r="I21" s="1"/>
      <c r="J21" s="1"/>
      <c r="K21" s="1"/>
    </row>
    <row r="22" spans="1:11" ht="41.25" hidden="1" customHeight="1">
      <c r="A22" s="17" t="s">
        <v>1</v>
      </c>
      <c r="B22" s="16" t="s">
        <v>2</v>
      </c>
      <c r="C22" s="17" t="s">
        <v>3</v>
      </c>
      <c r="D22" s="17" t="s">
        <v>4</v>
      </c>
      <c r="E22" s="17" t="s">
        <v>25</v>
      </c>
      <c r="F22" s="4" t="s">
        <v>26</v>
      </c>
      <c r="G22" s="1"/>
      <c r="H22" s="1"/>
      <c r="I22" s="1"/>
      <c r="J22" s="1"/>
      <c r="K22" s="1"/>
    </row>
    <row r="23" spans="1:11" ht="28.5" customHeight="1">
      <c r="A23" s="26"/>
      <c r="B23" s="27"/>
      <c r="C23" s="28"/>
      <c r="D23" s="26"/>
      <c r="E23" s="26"/>
      <c r="F23" s="29"/>
      <c r="G23" s="1"/>
      <c r="H23" s="1"/>
      <c r="I23" s="1"/>
      <c r="J23" s="1"/>
      <c r="K23" s="1"/>
    </row>
    <row r="24" spans="1:11" ht="28.5" customHeight="1">
      <c r="A24" s="1"/>
      <c r="B24" s="30"/>
      <c r="C24" s="31"/>
      <c r="D24" s="1"/>
      <c r="E24" s="1"/>
      <c r="F24" s="21"/>
      <c r="G24" s="1"/>
      <c r="H24" s="1"/>
      <c r="I24" s="1"/>
      <c r="J24" s="1"/>
      <c r="K24" s="1"/>
    </row>
    <row r="25" spans="1:11" ht="28.5" customHeight="1">
      <c r="A25" s="1"/>
      <c r="B25" s="30"/>
      <c r="C25" s="31"/>
      <c r="D25" s="1"/>
      <c r="E25" s="1"/>
      <c r="F25" s="21"/>
      <c r="G25" s="1"/>
      <c r="H25" s="1"/>
      <c r="I25" s="1"/>
      <c r="J25" s="1"/>
      <c r="K25" s="1"/>
    </row>
    <row r="26" spans="1:11" ht="28.5" customHeight="1">
      <c r="A26" s="1"/>
      <c r="B26" s="30"/>
      <c r="C26" s="31"/>
      <c r="D26" s="1"/>
      <c r="E26" s="1"/>
      <c r="F26" s="21"/>
      <c r="G26" s="1"/>
      <c r="H26" s="1"/>
      <c r="I26" s="1"/>
      <c r="J26" s="1"/>
      <c r="K26" s="1"/>
    </row>
    <row r="27" spans="1:11" ht="28.5" customHeight="1">
      <c r="A27" s="1"/>
      <c r="B27" s="30"/>
      <c r="C27" s="31"/>
      <c r="D27" s="1"/>
      <c r="E27" s="1"/>
      <c r="F27" s="21"/>
      <c r="G27" s="1"/>
      <c r="H27" s="1"/>
      <c r="I27" s="1"/>
      <c r="J27" s="1"/>
      <c r="K27" s="1"/>
    </row>
    <row r="28" spans="1:11" ht="28.5" customHeight="1">
      <c r="A28" s="1"/>
      <c r="B28" s="30"/>
      <c r="C28" s="31"/>
      <c r="D28" s="1"/>
      <c r="E28" s="1"/>
      <c r="F28" s="21"/>
      <c r="G28" s="1"/>
      <c r="H28" s="1"/>
      <c r="I28" s="1"/>
      <c r="J28" s="1"/>
      <c r="K28" s="1"/>
    </row>
    <row r="29" spans="1:11" ht="28.5" customHeight="1">
      <c r="A29" s="1"/>
      <c r="B29" s="30"/>
      <c r="C29" s="31"/>
      <c r="D29" s="1"/>
      <c r="E29" s="1"/>
      <c r="F29" s="21"/>
      <c r="G29" s="1"/>
      <c r="H29" s="1"/>
      <c r="I29" s="1"/>
      <c r="J29" s="1"/>
      <c r="K29" s="1"/>
    </row>
    <row r="30" spans="1:11" ht="28.5" customHeight="1">
      <c r="A30" s="1"/>
      <c r="B30" s="30"/>
      <c r="C30" s="31"/>
      <c r="D30" s="1"/>
      <c r="E30" s="1"/>
      <c r="F30" s="21"/>
      <c r="G30" s="1"/>
      <c r="H30" s="1"/>
      <c r="I30" s="1"/>
      <c r="J30" s="1"/>
      <c r="K30" s="1"/>
    </row>
    <row r="31" spans="1:11" ht="28.5" customHeight="1">
      <c r="A31" s="1"/>
      <c r="B31" s="30"/>
      <c r="C31" s="31"/>
      <c r="D31" s="1"/>
      <c r="E31" s="1"/>
      <c r="F31" s="21"/>
      <c r="G31" s="1"/>
      <c r="H31" s="1"/>
      <c r="I31" s="1"/>
      <c r="J31" s="1"/>
      <c r="K31" s="1"/>
    </row>
    <row r="32" spans="1:11" ht="28.5" customHeight="1">
      <c r="A32" s="1"/>
      <c r="B32" s="30"/>
      <c r="C32" s="31"/>
      <c r="D32" s="1"/>
      <c r="E32" s="1"/>
      <c r="F32" s="21"/>
      <c r="G32" s="1"/>
      <c r="H32" s="1"/>
      <c r="I32" s="1"/>
      <c r="J32" s="1"/>
      <c r="K32" s="1"/>
    </row>
    <row r="33" spans="1:11" ht="28.5" customHeight="1">
      <c r="A33" s="1"/>
      <c r="B33" s="30"/>
      <c r="C33" s="31"/>
      <c r="D33" s="1"/>
      <c r="E33" s="1"/>
      <c r="F33" s="21"/>
      <c r="G33" s="1"/>
      <c r="H33" s="1"/>
      <c r="I33" s="1"/>
      <c r="J33" s="1"/>
      <c r="K33" s="1"/>
    </row>
    <row r="34" spans="1:11" ht="28.5" customHeight="1">
      <c r="A34" s="1"/>
      <c r="B34" s="30"/>
      <c r="C34" s="31"/>
      <c r="D34" s="1"/>
      <c r="E34" s="1"/>
      <c r="F34" s="21"/>
      <c r="G34" s="1"/>
      <c r="H34" s="1"/>
      <c r="I34" s="1"/>
      <c r="J34" s="1"/>
      <c r="K34" s="1"/>
    </row>
    <row r="35" spans="1:11" ht="28.5" customHeight="1">
      <c r="A35" s="1"/>
      <c r="B35" s="30"/>
      <c r="C35" s="31"/>
      <c r="D35" s="1"/>
      <c r="E35" s="1"/>
      <c r="F35" s="21"/>
      <c r="G35" s="1"/>
      <c r="H35" s="1"/>
      <c r="I35" s="1"/>
      <c r="J35" s="1"/>
      <c r="K35" s="1"/>
    </row>
    <row r="36" spans="1:11" ht="28.5" customHeight="1">
      <c r="A36" s="1"/>
      <c r="B36" s="30"/>
      <c r="C36" s="31"/>
      <c r="D36" s="1"/>
      <c r="E36" s="1"/>
      <c r="F36" s="21"/>
      <c r="G36" s="1"/>
      <c r="H36" s="1"/>
      <c r="I36" s="1"/>
      <c r="J36" s="1"/>
      <c r="K36" s="1"/>
    </row>
    <row r="37" spans="1:11" ht="28.5" customHeight="1">
      <c r="A37" s="1"/>
      <c r="B37" s="30"/>
      <c r="C37" s="31"/>
      <c r="D37" s="1"/>
      <c r="E37" s="1"/>
      <c r="F37" s="21"/>
      <c r="G37" s="1"/>
      <c r="H37" s="1"/>
      <c r="I37" s="1"/>
      <c r="J37" s="1"/>
      <c r="K37" s="1"/>
    </row>
    <row r="38" spans="1:11" ht="28.5" customHeight="1">
      <c r="A38" s="1"/>
      <c r="B38" s="30"/>
      <c r="C38" s="31"/>
      <c r="D38" s="1"/>
      <c r="E38" s="1"/>
      <c r="F38" s="21"/>
      <c r="G38" s="1"/>
      <c r="H38" s="1"/>
      <c r="I38" s="1"/>
      <c r="J38" s="1"/>
      <c r="K38" s="1"/>
    </row>
    <row r="39" spans="1:11" ht="28.5" customHeight="1">
      <c r="A39" s="1"/>
      <c r="B39" s="30"/>
      <c r="C39" s="31"/>
      <c r="D39" s="1"/>
      <c r="E39" s="1"/>
      <c r="F39" s="21"/>
      <c r="G39" s="1"/>
      <c r="H39" s="1"/>
      <c r="I39" s="1"/>
      <c r="J39" s="1"/>
      <c r="K39" s="1"/>
    </row>
    <row r="40" spans="1:11" ht="28.5" customHeight="1">
      <c r="A40" s="1"/>
      <c r="B40" s="30"/>
      <c r="C40" s="31"/>
      <c r="D40" s="1"/>
      <c r="E40" s="1"/>
      <c r="F40" s="21"/>
      <c r="G40" s="1"/>
      <c r="H40" s="1"/>
      <c r="I40" s="1"/>
      <c r="J40" s="1"/>
      <c r="K40" s="1"/>
    </row>
    <row r="41" spans="1:11" ht="28.5" customHeight="1">
      <c r="A41" s="1"/>
      <c r="B41" s="30"/>
      <c r="C41" s="31"/>
      <c r="D41" s="1"/>
      <c r="E41" s="1"/>
      <c r="F41" s="21"/>
      <c r="G41" s="1"/>
      <c r="H41" s="1"/>
      <c r="I41" s="1"/>
      <c r="J41" s="1"/>
      <c r="K41" s="1"/>
    </row>
    <row r="42" spans="1:11" ht="28.5" customHeight="1">
      <c r="A42" s="1"/>
      <c r="B42" s="30"/>
      <c r="C42" s="31"/>
      <c r="D42" s="1"/>
      <c r="E42" s="1"/>
      <c r="F42" s="21"/>
      <c r="G42" s="1"/>
      <c r="H42" s="1"/>
      <c r="I42" s="1"/>
      <c r="J42" s="1"/>
      <c r="K42" s="1"/>
    </row>
    <row r="43" spans="1:11" ht="28.5" customHeight="1">
      <c r="A43" s="1"/>
      <c r="B43" s="30"/>
      <c r="C43" s="31"/>
      <c r="D43" s="1"/>
      <c r="E43" s="1"/>
      <c r="F43" s="21"/>
      <c r="G43" s="1"/>
      <c r="H43" s="1"/>
      <c r="I43" s="1"/>
      <c r="J43" s="1"/>
      <c r="K43" s="1"/>
    </row>
    <row r="44" spans="1:11" ht="28.5" customHeight="1">
      <c r="A44" s="1"/>
      <c r="B44" s="30"/>
      <c r="C44" s="31"/>
      <c r="D44" s="1"/>
      <c r="E44" s="1"/>
      <c r="F44" s="21"/>
      <c r="G44" s="1"/>
      <c r="H44" s="1"/>
      <c r="I44" s="1"/>
      <c r="J44" s="1"/>
      <c r="K44" s="1"/>
    </row>
    <row r="45" spans="1:11" ht="28.5" customHeight="1">
      <c r="A45" s="1"/>
      <c r="B45" s="30"/>
      <c r="C45" s="31"/>
      <c r="D45" s="1"/>
      <c r="E45" s="1"/>
      <c r="F45" s="21"/>
      <c r="G45" s="1"/>
      <c r="H45" s="1"/>
      <c r="I45" s="1"/>
      <c r="J45" s="1"/>
      <c r="K45" s="1"/>
    </row>
    <row r="46" spans="1:11" ht="28.5" customHeight="1">
      <c r="A46" s="1"/>
      <c r="B46" s="30"/>
      <c r="C46" s="31"/>
      <c r="D46" s="1"/>
      <c r="E46" s="1"/>
      <c r="F46" s="21"/>
      <c r="G46" s="1"/>
      <c r="H46" s="1"/>
      <c r="I46" s="1"/>
      <c r="J46" s="1"/>
      <c r="K46" s="1"/>
    </row>
    <row r="47" spans="1:11" ht="28.5" customHeight="1">
      <c r="A47" s="1"/>
      <c r="B47" s="30"/>
      <c r="C47" s="31"/>
      <c r="D47" s="1"/>
      <c r="E47" s="1"/>
      <c r="F47" s="21"/>
      <c r="G47" s="1"/>
      <c r="H47" s="1"/>
      <c r="I47" s="1"/>
      <c r="J47" s="1"/>
      <c r="K47" s="1"/>
    </row>
    <row r="48" spans="1:11" ht="28.5" customHeight="1">
      <c r="A48" s="1"/>
      <c r="B48" s="30"/>
      <c r="C48" s="31"/>
      <c r="D48" s="1"/>
      <c r="E48" s="1"/>
      <c r="F48" s="21"/>
      <c r="G48" s="1"/>
      <c r="H48" s="1"/>
      <c r="I48" s="1"/>
      <c r="J48" s="1"/>
      <c r="K48" s="1"/>
    </row>
    <row r="49" spans="1:11" ht="28.5" customHeight="1">
      <c r="A49" s="1"/>
      <c r="B49" s="30"/>
      <c r="C49" s="31"/>
      <c r="D49" s="1"/>
      <c r="E49" s="1"/>
      <c r="F49" s="21"/>
      <c r="G49" s="1"/>
      <c r="H49" s="1"/>
      <c r="I49" s="1"/>
      <c r="J49" s="1"/>
      <c r="K49" s="1"/>
    </row>
    <row r="50" spans="1:11" ht="28.5" customHeight="1">
      <c r="A50" s="1"/>
      <c r="B50" s="30"/>
      <c r="C50" s="31"/>
      <c r="D50" s="1"/>
      <c r="E50" s="1"/>
      <c r="F50" s="21"/>
      <c r="G50" s="1"/>
      <c r="H50" s="1"/>
      <c r="I50" s="1"/>
      <c r="J50" s="1"/>
      <c r="K50" s="1"/>
    </row>
    <row r="51" spans="1:11" ht="28.5" customHeight="1">
      <c r="A51" s="1"/>
      <c r="B51" s="30"/>
      <c r="C51" s="31"/>
      <c r="D51" s="1"/>
      <c r="E51" s="1"/>
      <c r="F51" s="21"/>
      <c r="G51" s="1"/>
      <c r="H51" s="1"/>
      <c r="I51" s="1"/>
      <c r="J51" s="1"/>
      <c r="K51" s="1"/>
    </row>
    <row r="52" spans="1:11" ht="28.5" customHeight="1">
      <c r="A52" s="1"/>
      <c r="B52" s="30"/>
      <c r="C52" s="31"/>
      <c r="D52" s="1"/>
      <c r="E52" s="1"/>
      <c r="F52" s="21"/>
      <c r="G52" s="1"/>
      <c r="H52" s="1"/>
      <c r="I52" s="1"/>
      <c r="J52" s="1"/>
      <c r="K52" s="1"/>
    </row>
    <row r="53" spans="1:11" ht="28.5" customHeight="1">
      <c r="A53" s="1"/>
      <c r="B53" s="30"/>
      <c r="C53" s="31"/>
      <c r="D53" s="1"/>
      <c r="E53" s="1"/>
      <c r="F53" s="21"/>
      <c r="G53" s="1"/>
      <c r="H53" s="1"/>
      <c r="I53" s="1"/>
      <c r="J53" s="1"/>
      <c r="K53" s="1"/>
    </row>
    <row r="54" spans="1:11" ht="28.5" customHeight="1">
      <c r="A54" s="1"/>
      <c r="B54" s="30"/>
      <c r="C54" s="31"/>
      <c r="D54" s="1"/>
      <c r="E54" s="1"/>
      <c r="F54" s="21"/>
      <c r="G54" s="1"/>
      <c r="H54" s="1"/>
      <c r="I54" s="1"/>
      <c r="J54" s="1"/>
      <c r="K54" s="1"/>
    </row>
    <row r="55" spans="1:11" ht="28.5" customHeight="1">
      <c r="A55" s="1"/>
      <c r="B55" s="30"/>
      <c r="C55" s="31"/>
      <c r="D55" s="1"/>
      <c r="E55" s="1"/>
      <c r="F55" s="21"/>
      <c r="G55" s="1"/>
      <c r="H55" s="1"/>
      <c r="I55" s="1"/>
      <c r="J55" s="1"/>
      <c r="K55" s="1"/>
    </row>
    <row r="56" spans="1:11" ht="28.5" customHeight="1">
      <c r="A56" s="1"/>
      <c r="B56" s="30"/>
      <c r="C56" s="31"/>
      <c r="D56" s="1"/>
      <c r="E56" s="1"/>
      <c r="F56" s="21"/>
      <c r="G56" s="1"/>
      <c r="H56" s="1"/>
      <c r="I56" s="1"/>
      <c r="J56" s="1"/>
      <c r="K56" s="1"/>
    </row>
    <row r="57" spans="1:11" ht="28.5" customHeight="1">
      <c r="A57" s="1"/>
      <c r="B57" s="30"/>
      <c r="C57" s="31"/>
      <c r="D57" s="1"/>
      <c r="E57" s="1"/>
      <c r="F57" s="21"/>
      <c r="G57" s="1"/>
      <c r="H57" s="1"/>
      <c r="I57" s="1"/>
      <c r="J57" s="1"/>
      <c r="K57" s="1"/>
    </row>
    <row r="58" spans="1:11" ht="28.5" customHeight="1">
      <c r="A58" s="1"/>
      <c r="B58" s="30"/>
      <c r="C58" s="31"/>
      <c r="D58" s="1"/>
      <c r="E58" s="1"/>
      <c r="F58" s="21"/>
      <c r="G58" s="1"/>
      <c r="H58" s="1"/>
      <c r="I58" s="1"/>
      <c r="J58" s="1"/>
      <c r="K58" s="1"/>
    </row>
    <row r="59" spans="1:11" ht="28.5" customHeight="1">
      <c r="A59" s="1"/>
      <c r="B59" s="30"/>
      <c r="C59" s="31"/>
      <c r="D59" s="1"/>
      <c r="E59" s="1"/>
      <c r="F59" s="21"/>
      <c r="G59" s="1"/>
      <c r="H59" s="1"/>
      <c r="I59" s="1"/>
      <c r="J59" s="1"/>
      <c r="K59" s="1"/>
    </row>
    <row r="60" spans="1:11" ht="28.5" customHeight="1">
      <c r="A60" s="1"/>
      <c r="B60" s="30"/>
      <c r="C60" s="31"/>
      <c r="D60" s="1"/>
      <c r="E60" s="1"/>
      <c r="F60" s="21"/>
      <c r="G60" s="1"/>
      <c r="H60" s="1"/>
      <c r="I60" s="1"/>
      <c r="J60" s="1"/>
      <c r="K60" s="1"/>
    </row>
    <row r="61" spans="1:11" ht="28.5" customHeight="1">
      <c r="A61" s="1"/>
      <c r="B61" s="30"/>
      <c r="C61" s="31"/>
      <c r="D61" s="1"/>
      <c r="E61" s="1"/>
      <c r="F61" s="21"/>
      <c r="G61" s="1"/>
      <c r="H61" s="1"/>
      <c r="I61" s="1"/>
      <c r="J61" s="1"/>
      <c r="K61" s="1"/>
    </row>
    <row r="62" spans="1:11" ht="28.5" customHeight="1">
      <c r="A62" s="1"/>
      <c r="B62" s="30"/>
      <c r="C62" s="31"/>
      <c r="D62" s="1"/>
      <c r="E62" s="1"/>
      <c r="F62" s="21"/>
      <c r="G62" s="1"/>
      <c r="H62" s="1"/>
      <c r="I62" s="1"/>
      <c r="J62" s="1"/>
      <c r="K62" s="1"/>
    </row>
    <row r="63" spans="1:11" ht="28.5" customHeight="1">
      <c r="A63" s="1"/>
      <c r="B63" s="30"/>
      <c r="C63" s="31"/>
      <c r="D63" s="1"/>
      <c r="E63" s="1"/>
      <c r="F63" s="21"/>
      <c r="G63" s="1"/>
      <c r="H63" s="1"/>
      <c r="I63" s="1"/>
      <c r="J63" s="1"/>
      <c r="K63" s="1"/>
    </row>
    <row r="64" spans="1:11" ht="28.5" customHeight="1">
      <c r="A64" s="1"/>
      <c r="B64" s="30"/>
      <c r="C64" s="31"/>
      <c r="D64" s="1"/>
      <c r="E64" s="1"/>
      <c r="F64" s="21"/>
      <c r="G64" s="1"/>
      <c r="H64" s="1"/>
      <c r="I64" s="1"/>
      <c r="J64" s="1"/>
      <c r="K64" s="1"/>
    </row>
    <row r="65" spans="1:11" ht="28.5" customHeight="1">
      <c r="A65" s="1"/>
      <c r="B65" s="30"/>
      <c r="C65" s="31"/>
      <c r="D65" s="1"/>
      <c r="E65" s="1"/>
      <c r="F65" s="21"/>
      <c r="G65" s="1"/>
      <c r="H65" s="1"/>
      <c r="I65" s="1"/>
      <c r="J65" s="1"/>
      <c r="K65" s="1"/>
    </row>
    <row r="66" spans="1:11" ht="28.5" customHeight="1">
      <c r="A66" s="1"/>
      <c r="B66" s="30"/>
      <c r="C66" s="31"/>
      <c r="D66" s="1"/>
      <c r="E66" s="1"/>
      <c r="F66" s="21"/>
      <c r="G66" s="1"/>
      <c r="H66" s="1"/>
      <c r="I66" s="1"/>
      <c r="J66" s="1"/>
      <c r="K66" s="1"/>
    </row>
    <row r="67" spans="1:11" ht="28.5" customHeight="1">
      <c r="A67" s="1"/>
      <c r="B67" s="30"/>
      <c r="C67" s="31"/>
      <c r="D67" s="1"/>
      <c r="E67" s="1"/>
      <c r="F67" s="21"/>
      <c r="G67" s="1"/>
      <c r="H67" s="1"/>
      <c r="I67" s="1"/>
      <c r="J67" s="1"/>
      <c r="K67" s="1"/>
    </row>
    <row r="68" spans="1:11" ht="28.5" customHeight="1">
      <c r="A68" s="1"/>
      <c r="B68" s="30"/>
      <c r="C68" s="31"/>
      <c r="D68" s="1"/>
      <c r="E68" s="1"/>
      <c r="F68" s="21"/>
      <c r="G68" s="1"/>
      <c r="H68" s="1"/>
      <c r="I68" s="1"/>
      <c r="J68" s="1"/>
      <c r="K68" s="1"/>
    </row>
    <row r="69" spans="1:11" ht="28.5" customHeight="1">
      <c r="A69" s="1"/>
      <c r="B69" s="30"/>
      <c r="C69" s="31"/>
      <c r="D69" s="1"/>
      <c r="E69" s="1"/>
      <c r="F69" s="21"/>
      <c r="G69" s="1"/>
      <c r="H69" s="1"/>
      <c r="I69" s="1"/>
      <c r="J69" s="1"/>
      <c r="K69" s="1"/>
    </row>
    <row r="70" spans="1:11" ht="28.5" customHeight="1">
      <c r="A70" s="1"/>
      <c r="B70" s="30"/>
      <c r="C70" s="31"/>
      <c r="D70" s="1"/>
      <c r="E70" s="1"/>
      <c r="F70" s="21"/>
      <c r="G70" s="1"/>
      <c r="H70" s="1"/>
      <c r="I70" s="1"/>
      <c r="J70" s="1"/>
      <c r="K70" s="1"/>
    </row>
    <row r="71" spans="1:11" ht="28.5" customHeight="1">
      <c r="A71" s="1"/>
      <c r="B71" s="30"/>
      <c r="C71" s="31"/>
      <c r="D71" s="1"/>
      <c r="E71" s="1"/>
      <c r="F71" s="21"/>
      <c r="G71" s="1"/>
      <c r="H71" s="1"/>
      <c r="I71" s="1"/>
      <c r="J71" s="1"/>
      <c r="K71" s="1"/>
    </row>
    <row r="72" spans="1:11" ht="28.5" customHeight="1">
      <c r="A72" s="1"/>
      <c r="B72" s="30"/>
      <c r="C72" s="31"/>
      <c r="D72" s="1"/>
      <c r="E72" s="1"/>
      <c r="F72" s="21"/>
      <c r="G72" s="1"/>
      <c r="H72" s="1"/>
      <c r="I72" s="1"/>
      <c r="J72" s="1"/>
      <c r="K72" s="1"/>
    </row>
    <row r="73" spans="1:11" ht="28.5" customHeight="1">
      <c r="A73" s="1"/>
      <c r="B73" s="30"/>
      <c r="C73" s="31"/>
      <c r="D73" s="1"/>
      <c r="E73" s="1"/>
      <c r="F73" s="21"/>
      <c r="G73" s="1"/>
      <c r="H73" s="1"/>
      <c r="I73" s="1"/>
      <c r="J73" s="1"/>
      <c r="K73" s="1"/>
    </row>
    <row r="74" spans="1:11" ht="28.5" customHeight="1">
      <c r="A74" s="1"/>
      <c r="B74" s="30"/>
      <c r="C74" s="31"/>
      <c r="D74" s="1"/>
      <c r="E74" s="1"/>
      <c r="F74" s="21"/>
      <c r="G74" s="1"/>
      <c r="H74" s="1"/>
      <c r="I74" s="1"/>
      <c r="J74" s="1"/>
      <c r="K74" s="1"/>
    </row>
    <row r="75" spans="1:11" ht="28.5" customHeight="1">
      <c r="A75" s="1"/>
      <c r="B75" s="30"/>
      <c r="C75" s="31"/>
      <c r="D75" s="1"/>
      <c r="E75" s="1"/>
      <c r="F75" s="21"/>
      <c r="G75" s="1"/>
      <c r="H75" s="1"/>
      <c r="I75" s="1"/>
      <c r="J75" s="1"/>
      <c r="K75" s="1"/>
    </row>
    <row r="76" spans="1:11" ht="28.5" customHeight="1">
      <c r="A76" s="1"/>
      <c r="B76" s="30"/>
      <c r="C76" s="31"/>
      <c r="D76" s="1"/>
      <c r="E76" s="1"/>
      <c r="F76" s="21"/>
      <c r="G76" s="1"/>
      <c r="H76" s="1"/>
      <c r="I76" s="1"/>
      <c r="J76" s="1"/>
      <c r="K76" s="1"/>
    </row>
    <row r="77" spans="1:11" ht="28.5" customHeight="1">
      <c r="A77" s="1"/>
      <c r="B77" s="30"/>
      <c r="C77" s="31"/>
      <c r="D77" s="1"/>
      <c r="E77" s="1"/>
      <c r="F77" s="21"/>
      <c r="G77" s="1"/>
      <c r="H77" s="1"/>
      <c r="I77" s="1"/>
      <c r="J77" s="1"/>
      <c r="K77" s="1"/>
    </row>
    <row r="78" spans="1:11" ht="28.5" customHeight="1">
      <c r="A78" s="1"/>
      <c r="B78" s="30"/>
      <c r="C78" s="31"/>
      <c r="D78" s="1"/>
      <c r="E78" s="1"/>
      <c r="F78" s="21"/>
      <c r="G78" s="1"/>
      <c r="H78" s="1"/>
      <c r="I78" s="1"/>
      <c r="J78" s="1"/>
      <c r="K78" s="1"/>
    </row>
    <row r="79" spans="1:11" ht="28.5" customHeight="1">
      <c r="A79" s="1"/>
      <c r="B79" s="30"/>
      <c r="C79" s="31"/>
      <c r="D79" s="1"/>
      <c r="E79" s="1"/>
      <c r="F79" s="21"/>
      <c r="G79" s="1"/>
      <c r="H79" s="1"/>
      <c r="I79" s="1"/>
      <c r="J79" s="1"/>
      <c r="K79" s="1"/>
    </row>
    <row r="80" spans="1:11" ht="28.5" customHeight="1">
      <c r="A80" s="1"/>
      <c r="B80" s="30"/>
      <c r="C80" s="31"/>
      <c r="D80" s="1"/>
      <c r="E80" s="1"/>
      <c r="F80" s="21"/>
      <c r="G80" s="1"/>
      <c r="H80" s="1"/>
      <c r="I80" s="1"/>
      <c r="J80" s="1"/>
      <c r="K80" s="1"/>
    </row>
    <row r="81" spans="1:11" ht="28.5" customHeight="1">
      <c r="A81" s="1"/>
      <c r="B81" s="30"/>
      <c r="C81" s="31"/>
      <c r="D81" s="1"/>
      <c r="E81" s="1"/>
      <c r="F81" s="21"/>
      <c r="G81" s="1"/>
      <c r="H81" s="1"/>
      <c r="I81" s="1"/>
      <c r="J81" s="1"/>
      <c r="K81" s="1"/>
    </row>
    <row r="82" spans="1:11" ht="28.5" customHeight="1">
      <c r="A82" s="1"/>
      <c r="B82" s="30"/>
      <c r="C82" s="31"/>
      <c r="D82" s="1"/>
      <c r="E82" s="1"/>
      <c r="F82" s="21"/>
      <c r="G82" s="1"/>
      <c r="H82" s="1"/>
      <c r="I82" s="1"/>
      <c r="J82" s="1"/>
      <c r="K82" s="1"/>
    </row>
    <row r="83" spans="1:11" ht="28.5" customHeight="1">
      <c r="A83" s="1"/>
      <c r="B83" s="30"/>
      <c r="C83" s="31"/>
      <c r="D83" s="1"/>
      <c r="E83" s="1"/>
      <c r="F83" s="21"/>
      <c r="G83" s="1"/>
      <c r="H83" s="1"/>
      <c r="I83" s="1"/>
      <c r="J83" s="1"/>
      <c r="K83" s="1"/>
    </row>
    <row r="84" spans="1:11" ht="28.5" customHeight="1">
      <c r="A84" s="1"/>
      <c r="B84" s="30"/>
      <c r="C84" s="31"/>
      <c r="D84" s="1"/>
      <c r="E84" s="1"/>
      <c r="F84" s="21"/>
      <c r="G84" s="1"/>
      <c r="H84" s="1"/>
      <c r="I84" s="1"/>
      <c r="J84" s="1"/>
      <c r="K84" s="1"/>
    </row>
    <row r="85" spans="1:11" ht="28.5" customHeight="1">
      <c r="A85" s="1"/>
      <c r="B85" s="30"/>
      <c r="C85" s="31"/>
      <c r="D85" s="1"/>
      <c r="E85" s="1"/>
      <c r="F85" s="21"/>
      <c r="G85" s="1"/>
      <c r="H85" s="1"/>
      <c r="I85" s="1"/>
      <c r="J85" s="1"/>
      <c r="K85" s="1"/>
    </row>
    <row r="86" spans="1:11" ht="28.5" customHeight="1">
      <c r="A86" s="1"/>
      <c r="B86" s="30"/>
      <c r="C86" s="31"/>
      <c r="D86" s="1"/>
      <c r="E86" s="1"/>
      <c r="F86" s="21"/>
      <c r="G86" s="1"/>
      <c r="H86" s="1"/>
      <c r="I86" s="1"/>
      <c r="J86" s="1"/>
      <c r="K86" s="1"/>
    </row>
    <row r="87" spans="1:11" ht="28.5" customHeight="1">
      <c r="A87" s="1"/>
      <c r="B87" s="30"/>
      <c r="C87" s="31"/>
      <c r="D87" s="1"/>
      <c r="E87" s="1"/>
      <c r="F87" s="21"/>
      <c r="G87" s="1"/>
      <c r="H87" s="1"/>
      <c r="I87" s="1"/>
      <c r="J87" s="1"/>
      <c r="K87" s="1"/>
    </row>
    <row r="88" spans="1:11" ht="28.5" customHeight="1">
      <c r="A88" s="1"/>
      <c r="B88" s="30"/>
      <c r="C88" s="31"/>
      <c r="D88" s="1"/>
      <c r="E88" s="1"/>
      <c r="F88" s="21"/>
      <c r="G88" s="1"/>
      <c r="H88" s="1"/>
      <c r="I88" s="1"/>
      <c r="J88" s="1"/>
      <c r="K88" s="1"/>
    </row>
    <row r="89" spans="1:11" ht="28.5" customHeight="1">
      <c r="A89" s="1"/>
      <c r="B89" s="30"/>
      <c r="C89" s="31"/>
      <c r="D89" s="1"/>
      <c r="E89" s="1"/>
      <c r="F89" s="21"/>
      <c r="G89" s="1"/>
      <c r="H89" s="1"/>
      <c r="I89" s="1"/>
      <c r="J89" s="1"/>
      <c r="K89" s="1"/>
    </row>
    <row r="90" spans="1:11" ht="28.5" customHeight="1">
      <c r="A90" s="1"/>
      <c r="B90" s="30"/>
      <c r="C90" s="31"/>
      <c r="D90" s="1"/>
      <c r="E90" s="1"/>
      <c r="F90" s="21"/>
      <c r="G90" s="1"/>
      <c r="H90" s="1"/>
      <c r="I90" s="1"/>
      <c r="J90" s="1"/>
      <c r="K90" s="1"/>
    </row>
    <row r="91" spans="1:11" ht="28.5" customHeight="1">
      <c r="A91" s="1"/>
      <c r="B91" s="30"/>
      <c r="C91" s="31"/>
      <c r="D91" s="1"/>
      <c r="E91" s="1"/>
      <c r="F91" s="21"/>
      <c r="G91" s="1"/>
      <c r="H91" s="1"/>
      <c r="I91" s="1"/>
      <c r="J91" s="1"/>
      <c r="K91" s="1"/>
    </row>
    <row r="92" spans="1:11" ht="28.5" customHeight="1">
      <c r="A92" s="1"/>
      <c r="B92" s="30"/>
      <c r="C92" s="31"/>
      <c r="D92" s="1"/>
      <c r="E92" s="1"/>
      <c r="F92" s="21"/>
      <c r="G92" s="1"/>
      <c r="H92" s="1"/>
      <c r="I92" s="1"/>
      <c r="J92" s="1"/>
      <c r="K92" s="1"/>
    </row>
    <row r="93" spans="1:11" ht="28.5" customHeight="1">
      <c r="A93" s="1"/>
      <c r="B93" s="30"/>
      <c r="C93" s="31"/>
      <c r="D93" s="1"/>
      <c r="E93" s="1"/>
      <c r="F93" s="21"/>
      <c r="G93" s="1"/>
      <c r="H93" s="1"/>
      <c r="I93" s="1"/>
      <c r="J93" s="1"/>
      <c r="K93" s="1"/>
    </row>
    <row r="94" spans="1:11" ht="28.5" customHeight="1">
      <c r="A94" s="1"/>
      <c r="B94" s="30"/>
      <c r="C94" s="31"/>
      <c r="D94" s="1"/>
      <c r="E94" s="1"/>
      <c r="F94" s="21"/>
      <c r="G94" s="1"/>
      <c r="H94" s="1"/>
      <c r="I94" s="1"/>
      <c r="J94" s="1"/>
      <c r="K94" s="1"/>
    </row>
    <row r="95" spans="1:11" ht="28.5" customHeight="1">
      <c r="A95" s="1"/>
      <c r="B95" s="30"/>
      <c r="C95" s="31"/>
      <c r="D95" s="1"/>
      <c r="E95" s="1"/>
      <c r="F95" s="21"/>
      <c r="G95" s="1"/>
      <c r="H95" s="1"/>
      <c r="I95" s="1"/>
      <c r="J95" s="1"/>
      <c r="K95" s="1"/>
    </row>
    <row r="96" spans="1:11" ht="28.5" customHeight="1">
      <c r="A96" s="1"/>
      <c r="B96" s="30"/>
      <c r="C96" s="31"/>
      <c r="D96" s="1"/>
      <c r="E96" s="1"/>
      <c r="F96" s="21"/>
      <c r="G96" s="1"/>
      <c r="H96" s="1"/>
      <c r="I96" s="1"/>
      <c r="J96" s="1"/>
      <c r="K96" s="1"/>
    </row>
    <row r="97" spans="1:11" ht="28.5" customHeight="1">
      <c r="A97" s="1"/>
      <c r="B97" s="30"/>
      <c r="C97" s="31"/>
      <c r="D97" s="1"/>
      <c r="E97" s="1"/>
      <c r="F97" s="21"/>
      <c r="G97" s="1"/>
      <c r="H97" s="1"/>
      <c r="I97" s="1"/>
      <c r="J97" s="1"/>
      <c r="K97" s="1"/>
    </row>
    <row r="98" spans="1:11" ht="28.5" customHeight="1">
      <c r="A98" s="1"/>
      <c r="B98" s="30"/>
      <c r="C98" s="31"/>
      <c r="D98" s="1"/>
      <c r="E98" s="1"/>
      <c r="F98" s="21"/>
      <c r="G98" s="1"/>
      <c r="H98" s="1"/>
      <c r="I98" s="1"/>
      <c r="J98" s="1"/>
      <c r="K98" s="1"/>
    </row>
    <row r="99" spans="1:11" ht="28.5" customHeight="1">
      <c r="A99" s="1"/>
      <c r="B99" s="30"/>
      <c r="C99" s="31"/>
      <c r="D99" s="1"/>
      <c r="E99" s="1"/>
      <c r="F99" s="21"/>
      <c r="G99" s="1"/>
      <c r="H99" s="1"/>
      <c r="I99" s="1"/>
      <c r="J99" s="1"/>
      <c r="K99" s="1"/>
    </row>
    <row r="100" spans="1:11" ht="28.5" customHeight="1">
      <c r="A100" s="1"/>
      <c r="B100" s="30"/>
      <c r="C100" s="31"/>
      <c r="D100" s="1"/>
      <c r="E100" s="1"/>
      <c r="F100" s="21"/>
      <c r="G100" s="1"/>
      <c r="H100" s="1"/>
      <c r="I100" s="1"/>
      <c r="J100" s="1"/>
      <c r="K100" s="1"/>
    </row>
  </sheetData>
  <autoFilter ref="A1:F15" xr:uid="{00000000-0009-0000-0000-000004000000}"/>
  <mergeCells count="4">
    <mergeCell ref="A1:F1"/>
    <mergeCell ref="A2:F2"/>
    <mergeCell ref="A20:F20"/>
    <mergeCell ref="A21:F21"/>
  </mergeCells>
  <printOptions horizontalCentered="1" gridLines="1"/>
  <pageMargins left="7.8740157480315001E-2" right="7.8740157480315001E-2" top="0.196850393700787" bottom="0.23622047244094499" header="0" footer="0"/>
  <pageSetup paperSize="5" scale="56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Teaching</vt:lpstr>
      <vt:lpstr>Teaching (2)</vt:lpstr>
      <vt:lpstr>Teaching (5)</vt:lpstr>
      <vt:lpstr>Teaching (3)</vt:lpstr>
      <vt:lpstr>Teaching (4)</vt:lpstr>
      <vt:lpstr>Teaching!Print_Titles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SVCET Principal Offi</dc:creator>
  <cp:lastModifiedBy>123</cp:lastModifiedBy>
  <cp:lastPrinted>2026-07-14T09:20:48Z</cp:lastPrinted>
  <dcterms:created xsi:type="dcterms:W3CDTF">2006-09-16T00:00:00Z</dcterms:created>
  <dcterms:modified xsi:type="dcterms:W3CDTF">2026-07-14T09:21:02Z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6900F07DCD2142F3935663FED87C3DFA_12</vt:lpwstr>
  </property>
  <property fmtid="{D5CDD505-2E9C-101B-9397-08002B2CF9AE}" pid="3" name="KSOProductBuildVer">
    <vt:lpwstr>2057-12.2.0.23158</vt:lpwstr>
  </property>
</Properties>
</file>