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lary Bill\2026\June 2026\Salary Bill\"/>
    </mc:Choice>
  </mc:AlternateContent>
  <xr:revisionPtr revIDLastSave="0" documentId="13_ncr:1_{4FBA95E8-9A60-44B1-9BC8-378855EA13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 Teaching" sheetId="1" r:id="rId1"/>
    <sheet name="Teaching (2)" sheetId="2" state="hidden" r:id="rId2"/>
    <sheet name="Teaching (5)" sheetId="3" state="hidden" r:id="rId3"/>
    <sheet name="Teaching (3)" sheetId="4" state="hidden" r:id="rId4"/>
    <sheet name="Teaching (4)" sheetId="5" state="hidden" r:id="rId5"/>
  </sheets>
  <definedNames>
    <definedName name="_xlnm._FilterDatabase" localSheetId="0" hidden="1">'Non Teaching'!$Y$1:$Y$115</definedName>
    <definedName name="_xlnm._FilterDatabase" localSheetId="1" hidden="1">'Teaching (2)'!$A$1:$F$160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2" hidden="1">'Teaching (5)'!$A$1:$F$136</definedName>
    <definedName name="_xlnm.Print_Titles" localSheetId="0">'Non Teaching'!$3:$3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6" i="1" l="1"/>
  <c r="X106" i="1"/>
  <c r="W106" i="1"/>
  <c r="V106" i="1"/>
  <c r="S106" i="1"/>
  <c r="R106" i="1"/>
  <c r="P106" i="1"/>
  <c r="O106" i="1"/>
  <c r="N106" i="1"/>
  <c r="F106" i="1"/>
  <c r="Q105" i="1"/>
  <c r="T105" i="1" s="1"/>
  <c r="E106" i="1"/>
  <c r="Q38" i="1"/>
  <c r="U38" i="1" s="1"/>
  <c r="Q17" i="1"/>
  <c r="T17" i="1" s="1"/>
  <c r="Q90" i="1"/>
  <c r="T90" i="1" s="1"/>
  <c r="M106" i="1"/>
  <c r="L106" i="1"/>
  <c r="K106" i="1"/>
  <c r="I106" i="1"/>
  <c r="H106" i="1"/>
  <c r="G106" i="1"/>
  <c r="Q36" i="1"/>
  <c r="Z35" i="1"/>
  <c r="B55" i="1"/>
  <c r="U105" i="1" l="1"/>
  <c r="Z105" i="1" s="1"/>
  <c r="AA105" i="1" s="1"/>
  <c r="U17" i="1"/>
  <c r="Z17" i="1" s="1"/>
  <c r="AA17" i="1" s="1"/>
  <c r="T38" i="1"/>
  <c r="Z38" i="1" s="1"/>
  <c r="AA38" i="1" s="1"/>
  <c r="U90" i="1"/>
  <c r="Z90" i="1" s="1"/>
  <c r="AA90" i="1" s="1"/>
  <c r="T36" i="1"/>
  <c r="Z36" i="1" s="1"/>
  <c r="AA36" i="1" s="1"/>
  <c r="Z50" i="1" l="1"/>
  <c r="Q104" i="1"/>
  <c r="U104" i="1" l="1"/>
  <c r="T104" i="1"/>
  <c r="T37" i="1"/>
  <c r="Z37" i="1" s="1"/>
  <c r="AA37" i="1" s="1"/>
  <c r="Q33" i="1"/>
  <c r="T33" i="1" s="1"/>
  <c r="Q34" i="1"/>
  <c r="U34" i="1" s="1"/>
  <c r="Z104" i="1" l="1"/>
  <c r="U33" i="1"/>
  <c r="Z33" i="1" s="1"/>
  <c r="AA33" i="1" s="1"/>
  <c r="T34" i="1"/>
  <c r="Z34" i="1" s="1"/>
  <c r="AA34" i="1" s="1"/>
  <c r="AA104" i="1" l="1"/>
  <c r="G17" i="5" l="1"/>
  <c r="E15" i="5"/>
  <c r="D15" i="5"/>
  <c r="G14" i="5"/>
  <c r="G13" i="5"/>
  <c r="G12" i="5"/>
  <c r="G11" i="5"/>
  <c r="G10" i="5"/>
  <c r="G9" i="5"/>
  <c r="G8" i="5"/>
  <c r="G7" i="5"/>
  <c r="G6" i="5"/>
  <c r="G5" i="5"/>
  <c r="E16" i="4"/>
  <c r="D16" i="4"/>
  <c r="G15" i="4"/>
  <c r="G14" i="4"/>
  <c r="G13" i="4"/>
  <c r="G12" i="4"/>
  <c r="G11" i="4"/>
  <c r="G10" i="4"/>
  <c r="G9" i="4"/>
  <c r="G8" i="4"/>
  <c r="G7" i="4"/>
  <c r="G5" i="4"/>
  <c r="E136" i="3"/>
  <c r="D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E160" i="2"/>
  <c r="D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P37" i="1"/>
  <c r="Q35" i="1"/>
  <c r="Q31" i="1"/>
  <c r="U31" i="1" s="1"/>
  <c r="Q103" i="1"/>
  <c r="Q102" i="1"/>
  <c r="U102" i="1" s="1"/>
  <c r="Q101" i="1"/>
  <c r="T101" i="1" s="1"/>
  <c r="Q100" i="1"/>
  <c r="U100" i="1" s="1"/>
  <c r="Q99" i="1"/>
  <c r="Q98" i="1"/>
  <c r="U98" i="1" s="1"/>
  <c r="Q83" i="1"/>
  <c r="Q68" i="1"/>
  <c r="Q74" i="1"/>
  <c r="U74" i="1" s="1"/>
  <c r="Q73" i="1"/>
  <c r="U73" i="1" s="1"/>
  <c r="Q72" i="1"/>
  <c r="Q71" i="1"/>
  <c r="T71" i="1" s="1"/>
  <c r="Q69" i="1"/>
  <c r="T69" i="1" s="1"/>
  <c r="Q70" i="1"/>
  <c r="T70" i="1" s="1"/>
  <c r="Q77" i="1"/>
  <c r="U77" i="1" s="1"/>
  <c r="Q79" i="1"/>
  <c r="Q93" i="1"/>
  <c r="T93" i="1" s="1"/>
  <c r="Q92" i="1"/>
  <c r="U92" i="1" s="1"/>
  <c r="Q86" i="1"/>
  <c r="U86" i="1" s="1"/>
  <c r="Q87" i="1"/>
  <c r="U87" i="1" s="1"/>
  <c r="Q88" i="1"/>
  <c r="U88" i="1" s="1"/>
  <c r="Q89" i="1"/>
  <c r="U89" i="1" s="1"/>
  <c r="Q85" i="1"/>
  <c r="Q65" i="1"/>
  <c r="U65" i="1" s="1"/>
  <c r="Q75" i="1"/>
  <c r="Q64" i="1"/>
  <c r="Q66" i="1"/>
  <c r="T66" i="1" s="1"/>
  <c r="Q81" i="1"/>
  <c r="Q60" i="1"/>
  <c r="Q61" i="1"/>
  <c r="U61" i="1" s="1"/>
  <c r="Q62" i="1"/>
  <c r="T62" i="1" s="1"/>
  <c r="Q58" i="1"/>
  <c r="Q59" i="1"/>
  <c r="Q96" i="1"/>
  <c r="U96" i="1" s="1"/>
  <c r="Q95" i="1"/>
  <c r="Q56" i="1"/>
  <c r="T56" i="1" s="1"/>
  <c r="Q55" i="1"/>
  <c r="U55" i="1" s="1"/>
  <c r="Q54" i="1"/>
  <c r="T54" i="1" s="1"/>
  <c r="Q53" i="1"/>
  <c r="T53" i="1" s="1"/>
  <c r="B53" i="1"/>
  <c r="Z52" i="1"/>
  <c r="Q48" i="1"/>
  <c r="Q46" i="1"/>
  <c r="U46" i="1" s="1"/>
  <c r="Q45" i="1"/>
  <c r="Q44" i="1"/>
  <c r="U44" i="1" s="1"/>
  <c r="Q42" i="1"/>
  <c r="T42" i="1" s="1"/>
  <c r="Q41" i="1"/>
  <c r="T41" i="1" s="1"/>
  <c r="Q40" i="1"/>
  <c r="U40" i="1" s="1"/>
  <c r="Q29" i="1"/>
  <c r="Q28" i="1"/>
  <c r="U28" i="1" s="1"/>
  <c r="Q27" i="1"/>
  <c r="U27" i="1" s="1"/>
  <c r="Q26" i="1"/>
  <c r="U26" i="1" s="1"/>
  <c r="Z26" i="1" s="1"/>
  <c r="AA26" i="1" s="1"/>
  <c r="Q25" i="1"/>
  <c r="U25" i="1" s="1"/>
  <c r="Q24" i="1"/>
  <c r="U24" i="1" s="1"/>
  <c r="Q23" i="1"/>
  <c r="Q22" i="1"/>
  <c r="U22" i="1" s="1"/>
  <c r="Q21" i="1"/>
  <c r="U21" i="1" s="1"/>
  <c r="Q20" i="1"/>
  <c r="Q16" i="1"/>
  <c r="T16" i="1" s="1"/>
  <c r="Q15" i="1"/>
  <c r="U15" i="1" s="1"/>
  <c r="Q51" i="1"/>
  <c r="Q14" i="1"/>
  <c r="U14" i="1" s="1"/>
  <c r="Q13" i="1"/>
  <c r="T13" i="1" s="1"/>
  <c r="Q18" i="1"/>
  <c r="T18" i="1" s="1"/>
  <c r="Z18" i="1" s="1"/>
  <c r="Q32" i="1"/>
  <c r="Q12" i="1"/>
  <c r="Q11" i="1"/>
  <c r="U11" i="1" s="1"/>
  <c r="Q10" i="1"/>
  <c r="Q9" i="1"/>
  <c r="U9" i="1" s="1"/>
  <c r="Q8" i="1"/>
  <c r="Q7" i="1"/>
  <c r="T7" i="1" s="1"/>
  <c r="Q6" i="1"/>
  <c r="U64" i="1" l="1"/>
  <c r="U106" i="1" s="1"/>
  <c r="Q106" i="1"/>
  <c r="T8" i="1"/>
  <c r="U32" i="1"/>
  <c r="U12" i="1"/>
  <c r="G160" i="2"/>
  <c r="G15" i="5"/>
  <c r="G136" i="3"/>
  <c r="T87" i="1"/>
  <c r="Z87" i="1" s="1"/>
  <c r="AA87" i="1" s="1"/>
  <c r="T92" i="1"/>
  <c r="Z92" i="1" s="1"/>
  <c r="AA92" i="1" s="1"/>
  <c r="T22" i="1"/>
  <c r="Z22" i="1" s="1"/>
  <c r="AA22" i="1" s="1"/>
  <c r="U8" i="1"/>
  <c r="T11" i="1"/>
  <c r="Z11" i="1" s="1"/>
  <c r="AA11" i="1" s="1"/>
  <c r="T102" i="1"/>
  <c r="Z102" i="1" s="1"/>
  <c r="AA102" i="1" s="1"/>
  <c r="T46" i="1"/>
  <c r="Z46" i="1" s="1"/>
  <c r="AA46" i="1" s="1"/>
  <c r="U93" i="1"/>
  <c r="Z93" i="1" s="1"/>
  <c r="AA93" i="1" s="1"/>
  <c r="U7" i="1"/>
  <c r="Z7" i="1" s="1"/>
  <c r="AA7" i="1" s="1"/>
  <c r="U66" i="1"/>
  <c r="Z66" i="1" s="1"/>
  <c r="AA66" i="1" s="1"/>
  <c r="T88" i="1"/>
  <c r="Z88" i="1" s="1"/>
  <c r="AA88" i="1" s="1"/>
  <c r="AA35" i="1"/>
  <c r="T12" i="1"/>
  <c r="T15" i="1"/>
  <c r="Z15" i="1" s="1"/>
  <c r="AA15" i="1" s="1"/>
  <c r="T28" i="1"/>
  <c r="Z28" i="1" s="1"/>
  <c r="AA28" i="1" s="1"/>
  <c r="T74" i="1"/>
  <c r="Z74" i="1" s="1"/>
  <c r="AA74" i="1" s="1"/>
  <c r="U101" i="1"/>
  <c r="Z101" i="1" s="1"/>
  <c r="AA101" i="1" s="1"/>
  <c r="U16" i="1"/>
  <c r="Z16" i="1" s="1"/>
  <c r="AA16" i="1" s="1"/>
  <c r="U23" i="1"/>
  <c r="U41" i="1"/>
  <c r="Z41" i="1" s="1"/>
  <c r="AA41" i="1" s="1"/>
  <c r="U45" i="1"/>
  <c r="U71" i="1"/>
  <c r="Z71" i="1" s="1"/>
  <c r="AA71" i="1" s="1"/>
  <c r="U68" i="1"/>
  <c r="U13" i="1"/>
  <c r="Z13" i="1" s="1"/>
  <c r="AA13" i="1" s="1"/>
  <c r="T23" i="1"/>
  <c r="T27" i="1"/>
  <c r="Z27" i="1" s="1"/>
  <c r="U42" i="1"/>
  <c r="Z42" i="1" s="1"/>
  <c r="AA42" i="1" s="1"/>
  <c r="T45" i="1"/>
  <c r="T55" i="1"/>
  <c r="Z55" i="1" s="1"/>
  <c r="AA55" i="1" s="1"/>
  <c r="U56" i="1"/>
  <c r="Z56" i="1" s="1"/>
  <c r="AA56" i="1" s="1"/>
  <c r="T68" i="1"/>
  <c r="Z68" i="1" s="1"/>
  <c r="AA68" i="1" s="1"/>
  <c r="T64" i="1"/>
  <c r="U81" i="1"/>
  <c r="T81" i="1"/>
  <c r="U72" i="1"/>
  <c r="T72" i="1"/>
  <c r="U99" i="1"/>
  <c r="T99" i="1"/>
  <c r="U6" i="1"/>
  <c r="T6" i="1"/>
  <c r="T32" i="1"/>
  <c r="T14" i="1"/>
  <c r="Z14" i="1" s="1"/>
  <c r="AA14" i="1" s="1"/>
  <c r="T20" i="1"/>
  <c r="U20" i="1"/>
  <c r="T29" i="1"/>
  <c r="U29" i="1"/>
  <c r="T48" i="1"/>
  <c r="U48" i="1"/>
  <c r="T103" i="1"/>
  <c r="U103" i="1"/>
  <c r="U51" i="1"/>
  <c r="T51" i="1"/>
  <c r="T9" i="1"/>
  <c r="Z9" i="1" s="1"/>
  <c r="AA9" i="1" s="1"/>
  <c r="T24" i="1"/>
  <c r="Z24" i="1" s="1"/>
  <c r="AA24" i="1" s="1"/>
  <c r="U10" i="1"/>
  <c r="T10" i="1"/>
  <c r="AA18" i="1"/>
  <c r="T95" i="1"/>
  <c r="U95" i="1"/>
  <c r="T75" i="1"/>
  <c r="U75" i="1"/>
  <c r="T85" i="1"/>
  <c r="U85" i="1"/>
  <c r="U79" i="1"/>
  <c r="T79" i="1"/>
  <c r="U83" i="1"/>
  <c r="T83" i="1"/>
  <c r="G16" i="4"/>
  <c r="J20" i="4" s="1"/>
  <c r="T21" i="1"/>
  <c r="Z21" i="1" s="1"/>
  <c r="AA21" i="1" s="1"/>
  <c r="T25" i="1"/>
  <c r="Z25" i="1" s="1"/>
  <c r="AA25" i="1" s="1"/>
  <c r="T40" i="1"/>
  <c r="Z40" i="1" s="1"/>
  <c r="AA40" i="1" s="1"/>
  <c r="T44" i="1"/>
  <c r="Z44" i="1" s="1"/>
  <c r="AA44" i="1" s="1"/>
  <c r="T96" i="1"/>
  <c r="Z96" i="1" s="1"/>
  <c r="AA96" i="1" s="1"/>
  <c r="T65" i="1"/>
  <c r="Z65" i="1" s="1"/>
  <c r="AA65" i="1" s="1"/>
  <c r="T89" i="1"/>
  <c r="Z89" i="1" s="1"/>
  <c r="AA89" i="1" s="1"/>
  <c r="T86" i="1"/>
  <c r="Z86" i="1" s="1"/>
  <c r="AA86" i="1" s="1"/>
  <c r="T73" i="1"/>
  <c r="Z73" i="1" s="1"/>
  <c r="AA73" i="1" s="1"/>
  <c r="T98" i="1"/>
  <c r="Z98" i="1" s="1"/>
  <c r="AA98" i="1" s="1"/>
  <c r="T100" i="1"/>
  <c r="Z100" i="1" s="1"/>
  <c r="AA100" i="1" s="1"/>
  <c r="T31" i="1"/>
  <c r="Z31" i="1" s="1"/>
  <c r="AA31" i="1" s="1"/>
  <c r="U69" i="1"/>
  <c r="Z69" i="1" s="1"/>
  <c r="AA69" i="1" s="1"/>
  <c r="U70" i="1"/>
  <c r="Z70" i="1" s="1"/>
  <c r="AA70" i="1" s="1"/>
  <c r="T77" i="1"/>
  <c r="Z77" i="1" s="1"/>
  <c r="AA77" i="1" s="1"/>
  <c r="T61" i="1"/>
  <c r="Z61" i="1" s="1"/>
  <c r="AA61" i="1" s="1"/>
  <c r="U62" i="1"/>
  <c r="Z62" i="1" s="1"/>
  <c r="AA62" i="1" s="1"/>
  <c r="U60" i="1"/>
  <c r="T60" i="1"/>
  <c r="U59" i="1"/>
  <c r="T59" i="1"/>
  <c r="U58" i="1"/>
  <c r="T58" i="1"/>
  <c r="R58" i="1"/>
  <c r="U54" i="1"/>
  <c r="Z54" i="1" s="1"/>
  <c r="AA54" i="1" s="1"/>
  <c r="U53" i="1"/>
  <c r="Z64" i="1" l="1"/>
  <c r="T106" i="1"/>
  <c r="Z8" i="1"/>
  <c r="AA27" i="1"/>
  <c r="Z32" i="1"/>
  <c r="Z12" i="1"/>
  <c r="Z20" i="1"/>
  <c r="AA20" i="1" s="1"/>
  <c r="Z81" i="1"/>
  <c r="AA81" i="1" s="1"/>
  <c r="Z29" i="1"/>
  <c r="AA29" i="1" s="1"/>
  <c r="Z95" i="1"/>
  <c r="AA95" i="1" s="1"/>
  <c r="Z23" i="1"/>
  <c r="AA23" i="1" s="1"/>
  <c r="Z72" i="1"/>
  <c r="AA72" i="1" s="1"/>
  <c r="Z6" i="1"/>
  <c r="Z85" i="1"/>
  <c r="AA85" i="1" s="1"/>
  <c r="Z83" i="1"/>
  <c r="AA83" i="1" s="1"/>
  <c r="Z45" i="1"/>
  <c r="AA45" i="1" s="1"/>
  <c r="Z48" i="1"/>
  <c r="AA48" i="1" s="1"/>
  <c r="Z75" i="1"/>
  <c r="AA75" i="1" s="1"/>
  <c r="Z51" i="1"/>
  <c r="AA51" i="1" s="1"/>
  <c r="Z103" i="1"/>
  <c r="AA103" i="1" s="1"/>
  <c r="Z79" i="1"/>
  <c r="AA79" i="1" s="1"/>
  <c r="Z10" i="1"/>
  <c r="AA10" i="1" s="1"/>
  <c r="Z99" i="1"/>
  <c r="AA99" i="1" s="1"/>
  <c r="Z60" i="1"/>
  <c r="AA60" i="1" s="1"/>
  <c r="Z59" i="1"/>
  <c r="AA59" i="1" s="1"/>
  <c r="Z58" i="1"/>
  <c r="AA58" i="1" s="1"/>
  <c r="Z53" i="1"/>
  <c r="AA64" i="1" l="1"/>
  <c r="AA106" i="1" s="1"/>
  <c r="Z106" i="1"/>
  <c r="AA8" i="1"/>
  <c r="AA32" i="1"/>
  <c r="AA12" i="1"/>
  <c r="AA6" i="1"/>
  <c r="AA53" i="1"/>
</calcChain>
</file>

<file path=xl/sharedStrings.xml><?xml version="1.0" encoding="utf-8"?>
<sst xmlns="http://schemas.openxmlformats.org/spreadsheetml/2006/main" count="1362" uniqueCount="627">
  <si>
    <t>Sri Venkateswara College Of Engineering and Technology</t>
  </si>
  <si>
    <t>Sl. No.</t>
  </si>
  <si>
    <t>D. 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</si>
  <si>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</si>
  <si>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</si>
  <si>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</si>
  <si>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</si>
  <si>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</si>
  <si>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</si>
  <si>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</si>
  <si>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</si>
  <si>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</si>
  <si>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</si>
  <si>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</si>
  <si>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</si>
  <si>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</si>
  <si>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</si>
  <si>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</si>
  <si>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</si>
  <si>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</si>
  <si>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</si>
  <si>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</si>
  <si>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</si>
  <si>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</si>
  <si>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</si>
  <si>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</si>
  <si>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</si>
  <si>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</si>
  <si>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</si>
  <si>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</si>
  <si>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NON-TEACHING STAFF</t>
  </si>
  <si>
    <t>Administrative Office</t>
  </si>
  <si>
    <t>M. Shameer Basha</t>
  </si>
  <si>
    <t>AO-II</t>
  </si>
  <si>
    <t>4017000402714022</t>
  </si>
  <si>
    <t>PUNB0401700</t>
  </si>
  <si>
    <t>K. Gajendrudu Naidu</t>
  </si>
  <si>
    <t>A.A.O</t>
  </si>
  <si>
    <t>4017000402717889</t>
  </si>
  <si>
    <t xml:space="preserve">T. R. Balasubramanyam </t>
  </si>
  <si>
    <t>820296142</t>
  </si>
  <si>
    <t>IDIB000C026</t>
  </si>
  <si>
    <t xml:space="preserve"> S. Sujith Kumar </t>
  </si>
  <si>
    <t xml:space="preserve"> AAO </t>
  </si>
  <si>
    <t>115910100003703</t>
  </si>
  <si>
    <t>UBIN0811599</t>
  </si>
  <si>
    <t>K. Padmaja</t>
  </si>
  <si>
    <t>Comp.Op</t>
  </si>
  <si>
    <t>4017000402714147</t>
  </si>
  <si>
    <t>K A Guru Murthy</t>
  </si>
  <si>
    <t>31020839780</t>
  </si>
  <si>
    <t>SBIN0002773</t>
  </si>
  <si>
    <t xml:space="preserve">M. Himabindu </t>
  </si>
  <si>
    <t>UBIN0810207</t>
  </si>
  <si>
    <t>C. Satheesh</t>
  </si>
  <si>
    <t>Graphic Designer</t>
  </si>
  <si>
    <t>1522500100963901</t>
  </si>
  <si>
    <t>KARB0000220</t>
  </si>
  <si>
    <t>M. Jhansi</t>
  </si>
  <si>
    <t>AO</t>
  </si>
  <si>
    <t>110114717794</t>
  </si>
  <si>
    <t>CNRB0000852</t>
  </si>
  <si>
    <t>Vivekanand Adhikari</t>
  </si>
  <si>
    <t>IR Officer</t>
  </si>
  <si>
    <t>020201571933</t>
  </si>
  <si>
    <t>ICIC0000202</t>
  </si>
  <si>
    <t>M. Sonia</t>
  </si>
  <si>
    <t>Comp. Op</t>
  </si>
  <si>
    <t>008110100029215</t>
  </si>
  <si>
    <t>UBIN0800813</t>
  </si>
  <si>
    <t>Office Executive</t>
  </si>
  <si>
    <t xml:space="preserve">Renuka K S </t>
  </si>
  <si>
    <t>Computer Op.</t>
  </si>
  <si>
    <t>4017000102799451</t>
  </si>
  <si>
    <t>T. R. Trivikram</t>
  </si>
  <si>
    <t>System Admin</t>
  </si>
  <si>
    <t>10494354688</t>
  </si>
  <si>
    <t>SBIN0007083</t>
  </si>
  <si>
    <t>Accounts Section</t>
  </si>
  <si>
    <t>K Vinod Kumar</t>
  </si>
  <si>
    <t>Sr. Executive Finance</t>
  </si>
  <si>
    <t>000201649242</t>
  </si>
  <si>
    <t>ICIC0000002</t>
  </si>
  <si>
    <t>K Hemalatha</t>
  </si>
  <si>
    <t>Accountant</t>
  </si>
  <si>
    <t>4017000102778731</t>
  </si>
  <si>
    <t xml:space="preserve">V Balakrishna </t>
  </si>
  <si>
    <t>105901000008424</t>
  </si>
  <si>
    <t>IOBA0001059</t>
  </si>
  <si>
    <t>A Bhagavathi</t>
  </si>
  <si>
    <t>DCB Record Asst.</t>
  </si>
  <si>
    <t>174110100122789</t>
  </si>
  <si>
    <t>UBIN0817414</t>
  </si>
  <si>
    <t>G Gayathri</t>
  </si>
  <si>
    <t>50100595208310</t>
  </si>
  <si>
    <t>HDFC0002379</t>
  </si>
  <si>
    <t>K Deepthi</t>
  </si>
  <si>
    <t>Cashier &amp; Comp.Op</t>
  </si>
  <si>
    <t>110168085472</t>
  </si>
  <si>
    <t>CNRB0013182</t>
  </si>
  <si>
    <t>G E Adikesavulu</t>
  </si>
  <si>
    <t>Accounts  Assistant</t>
  </si>
  <si>
    <t>SBIN0000825</t>
  </si>
  <si>
    <t xml:space="preserve">I Suleha Siddhika </t>
  </si>
  <si>
    <t>32320100002415</t>
  </si>
  <si>
    <t>BARB0CHITAP</t>
  </si>
  <si>
    <t>V. Ravindra Reddy</t>
  </si>
  <si>
    <t>Office Assistant</t>
  </si>
  <si>
    <t xml:space="preserve">D. Vidya Sagar </t>
  </si>
  <si>
    <t>Sr. Accountant</t>
  </si>
  <si>
    <t>153910021020002</t>
  </si>
  <si>
    <t>UBIN0815390</t>
  </si>
  <si>
    <t>Exam Section</t>
  </si>
  <si>
    <t>P Shoba Rani</t>
  </si>
  <si>
    <t>2117010060233</t>
  </si>
  <si>
    <t>PUNB0211720</t>
  </si>
  <si>
    <t>R Hari Krishna</t>
  </si>
  <si>
    <t>Jr.Asst</t>
  </si>
  <si>
    <t>4017000402713971</t>
  </si>
  <si>
    <t>Lokesh Yadav K</t>
  </si>
  <si>
    <t>091610100053513</t>
  </si>
  <si>
    <t>UBIN0809161</t>
  </si>
  <si>
    <t>CNRB0013170</t>
  </si>
  <si>
    <t>Library</t>
  </si>
  <si>
    <t xml:space="preserve">K Sreenivasulu </t>
  </si>
  <si>
    <t>Asst.Librarian</t>
  </si>
  <si>
    <t>6265869747</t>
  </si>
  <si>
    <t>IDIB000K009</t>
  </si>
  <si>
    <t xml:space="preserve">V. Sumalatha </t>
  </si>
  <si>
    <t>640110010132867</t>
  </si>
  <si>
    <t>UBIN0CG7999</t>
  </si>
  <si>
    <t>T.Nagarajan</t>
  </si>
  <si>
    <t>Binder</t>
  </si>
  <si>
    <t>4017000402722261</t>
  </si>
  <si>
    <t>Maintenance</t>
  </si>
  <si>
    <t xml:space="preserve">G Gandhi </t>
  </si>
  <si>
    <t>37852982233</t>
  </si>
  <si>
    <t>Departmental Staff</t>
  </si>
  <si>
    <t>EEE</t>
  </si>
  <si>
    <t>S.Jaya Kumar</t>
  </si>
  <si>
    <t>Lab_Tech</t>
  </si>
  <si>
    <t>4017000402714314</t>
  </si>
  <si>
    <t xml:space="preserve">V Giri Babu </t>
  </si>
  <si>
    <t>4017000402715757</t>
  </si>
  <si>
    <t xml:space="preserve">P Sreeramulachetty </t>
  </si>
  <si>
    <t>4017000402714916</t>
  </si>
  <si>
    <t>Electrician</t>
  </si>
  <si>
    <t>S Giri Babu</t>
  </si>
  <si>
    <t>975000783</t>
  </si>
  <si>
    <t>IDIB000C065</t>
  </si>
  <si>
    <t>K  Thulasi Ram</t>
  </si>
  <si>
    <t>4017000402714590</t>
  </si>
  <si>
    <t>ME</t>
  </si>
  <si>
    <t>A.G.Surendra Babu</t>
  </si>
  <si>
    <t>4017000402715049</t>
  </si>
  <si>
    <t>M.Venkatesh</t>
  </si>
  <si>
    <t>4017000402715456</t>
  </si>
  <si>
    <t xml:space="preserve">A Govindarajulu </t>
  </si>
  <si>
    <t>20320588601</t>
  </si>
  <si>
    <t>SBIN0013176</t>
  </si>
  <si>
    <t>P Khader Khan</t>
  </si>
  <si>
    <t>30405103800</t>
  </si>
  <si>
    <t>K R Subramanyan</t>
  </si>
  <si>
    <t>4017000402721998</t>
  </si>
  <si>
    <t>B Santhosh</t>
  </si>
  <si>
    <t>4017000102783982</t>
  </si>
  <si>
    <t>ECE</t>
  </si>
  <si>
    <t>Comp.Op / Lab_Tech</t>
  </si>
  <si>
    <t>P.Subramanyam</t>
  </si>
  <si>
    <t>4017000402715012</t>
  </si>
  <si>
    <t xml:space="preserve">C. Dileep Kumar </t>
  </si>
  <si>
    <t>32392250009792</t>
  </si>
  <si>
    <t>CNRB0013239</t>
  </si>
  <si>
    <t>V. Gireesh</t>
  </si>
  <si>
    <t>32320100011756</t>
  </si>
  <si>
    <t>HAS</t>
  </si>
  <si>
    <t xml:space="preserve">P Kiran Kumar </t>
  </si>
  <si>
    <t>102010100049811</t>
  </si>
  <si>
    <t>B Haritha</t>
  </si>
  <si>
    <t>6533351711</t>
  </si>
  <si>
    <t xml:space="preserve">G Manjula </t>
  </si>
  <si>
    <t>229310100022425</t>
  </si>
  <si>
    <t>UBIN0822931</t>
  </si>
  <si>
    <t xml:space="preserve">J. Jagdeesh </t>
  </si>
  <si>
    <t>520101262459944</t>
  </si>
  <si>
    <t>UBIN0900346</t>
  </si>
  <si>
    <t>TAP</t>
  </si>
  <si>
    <t>K.Mohan</t>
  </si>
  <si>
    <t>19572041000083</t>
  </si>
  <si>
    <t>PUNB0195710</t>
  </si>
  <si>
    <t>Bishal Kumar Sha</t>
  </si>
  <si>
    <t>Executive Assistant</t>
  </si>
  <si>
    <t>4017000102799956</t>
  </si>
  <si>
    <t>CSD</t>
  </si>
  <si>
    <t xml:space="preserve">R Vaishnavi </t>
  </si>
  <si>
    <t>867010110010076</t>
  </si>
  <si>
    <t>BKID0008670</t>
  </si>
  <si>
    <t>CSM</t>
  </si>
  <si>
    <t>D Deepa</t>
  </si>
  <si>
    <t>644710011523488</t>
  </si>
  <si>
    <t>CSE</t>
  </si>
  <si>
    <t xml:space="preserve">Saddam Hussain </t>
  </si>
  <si>
    <t>16730100038961</t>
  </si>
  <si>
    <t>FDRL0001673</t>
  </si>
  <si>
    <t>N.Murali Krishna</t>
  </si>
  <si>
    <t>4017000402716835</t>
  </si>
  <si>
    <t>M. Sandeep</t>
  </si>
  <si>
    <t>41584710293</t>
  </si>
  <si>
    <t>SBIN0015100</t>
  </si>
  <si>
    <t>K. Karthikeyan</t>
  </si>
  <si>
    <t>920010072748855</t>
  </si>
  <si>
    <t>UTIB0004379</t>
  </si>
  <si>
    <t>P. Sai Balaji</t>
  </si>
  <si>
    <t>110212599272</t>
  </si>
  <si>
    <t>CNRB0003736</t>
  </si>
  <si>
    <t xml:space="preserve">Jaya Saranya </t>
  </si>
  <si>
    <t>867010510004669</t>
  </si>
  <si>
    <t>B. Bhanu Priya</t>
  </si>
  <si>
    <t>110137053983</t>
  </si>
  <si>
    <t>MCA</t>
  </si>
  <si>
    <t>K. M. Geetha Kumari</t>
  </si>
  <si>
    <t>SBIN0013242</t>
  </si>
  <si>
    <t>HOSTEL</t>
  </si>
  <si>
    <t>C Chithra</t>
  </si>
  <si>
    <t>Care Taker</t>
  </si>
  <si>
    <t>1401192000016240</t>
  </si>
  <si>
    <t>KVBL0001401</t>
  </si>
  <si>
    <t xml:space="preserve">M.Satish </t>
  </si>
  <si>
    <t>Gym Trainer</t>
  </si>
  <si>
    <t>4017000102776043</t>
  </si>
  <si>
    <t>Ujwal Kanth</t>
  </si>
  <si>
    <t>0569000100384734</t>
  </si>
  <si>
    <t>PUNB0056900</t>
  </si>
  <si>
    <t>Gowtham Kumar</t>
  </si>
  <si>
    <t>5909000400002991</t>
  </si>
  <si>
    <t>PUNB0590900</t>
  </si>
  <si>
    <t>Mohan Prasanth</t>
  </si>
  <si>
    <t>50100367891332</t>
  </si>
  <si>
    <t>HDFC0002757</t>
  </si>
  <si>
    <t>Dilkhush Kumar</t>
  </si>
  <si>
    <t>624502120000924</t>
  </si>
  <si>
    <t>UBIN0562459</t>
  </si>
  <si>
    <t>MEDIA</t>
  </si>
  <si>
    <t xml:space="preserve">Swethak KVS </t>
  </si>
  <si>
    <t>Growth &amp; Strategy Lead</t>
  </si>
  <si>
    <t>0649101045988</t>
  </si>
  <si>
    <t>CNRB0013013</t>
  </si>
  <si>
    <t>Mrs. Deepthi Dadi </t>
  </si>
  <si>
    <t>006901551227</t>
  </si>
  <si>
    <t>ICIC0000069</t>
  </si>
  <si>
    <t>B. Kishore</t>
  </si>
  <si>
    <t>HDFC0009463</t>
  </si>
  <si>
    <t>T. Mohan Kumar</t>
  </si>
  <si>
    <t>SBIN0012727</t>
  </si>
  <si>
    <t>Grand Total</t>
  </si>
  <si>
    <t>Prepared By</t>
  </si>
  <si>
    <t>Verified By</t>
  </si>
  <si>
    <t>Accounts Officer</t>
  </si>
  <si>
    <t>Principal</t>
  </si>
  <si>
    <t>Vice Chairman</t>
  </si>
  <si>
    <t>Salary Bill for the Month of May 2021</t>
  </si>
  <si>
    <t>S No</t>
  </si>
  <si>
    <t>TEACHING STAFF</t>
  </si>
  <si>
    <t>Dr. M Mohan Babu</t>
  </si>
  <si>
    <t>4017000402717199</t>
  </si>
  <si>
    <t>Dr.B.Damodhara Reddy</t>
  </si>
  <si>
    <t>Assoc.Prof</t>
  </si>
  <si>
    <t>4017000402714457</t>
  </si>
  <si>
    <t xml:space="preserve">V Giridhar Kumar </t>
  </si>
  <si>
    <t>4017000402728788</t>
  </si>
  <si>
    <t>B.Raja Sekhar</t>
  </si>
  <si>
    <t>Asst.Prof</t>
  </si>
  <si>
    <t>4017000402717719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</si>
  <si>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</si>
  <si>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</si>
  <si>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</si>
  <si>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</si>
  <si>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</si>
  <si>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</si>
  <si>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</si>
  <si>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</si>
  <si>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</si>
  <si>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</si>
  <si>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</si>
  <si>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</si>
  <si>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</si>
  <si>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</si>
  <si>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</si>
  <si>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</si>
  <si>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</si>
  <si>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</si>
  <si>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4017000402713935</t>
  </si>
  <si>
    <t>S.Senthil</t>
  </si>
  <si>
    <t>4017000402714077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</si>
  <si>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</si>
  <si>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</si>
  <si>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</si>
  <si>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</si>
  <si>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</si>
  <si>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</si>
  <si>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</si>
  <si>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</si>
  <si>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4017000402715702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</si>
  <si>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</si>
  <si>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</si>
  <si>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</si>
  <si>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</si>
  <si>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</si>
  <si>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</si>
  <si>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</si>
  <si>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</si>
  <si>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</si>
  <si>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</si>
  <si>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</si>
  <si>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4017000402717180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</si>
  <si>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</si>
  <si>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</si>
  <si>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</si>
  <si>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</si>
  <si>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</si>
  <si>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</si>
  <si>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</si>
  <si>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Professor</t>
  </si>
  <si>
    <t>4017000402722492</t>
  </si>
  <si>
    <t>Dr C Ahilan</t>
  </si>
  <si>
    <t>4017000402728706</t>
  </si>
  <si>
    <t>Dr V Velu Mani</t>
  </si>
  <si>
    <t>Assco.Prof</t>
  </si>
  <si>
    <t>4017000402728867</t>
  </si>
  <si>
    <t>Dr Ranjith Kumar G</t>
  </si>
  <si>
    <t>616065357</t>
  </si>
  <si>
    <t>C.Umamaheswari</t>
  </si>
  <si>
    <t>4017000402716589</t>
  </si>
  <si>
    <t>N.Sakthivelan</t>
  </si>
  <si>
    <t>4017000402716941</t>
  </si>
  <si>
    <t>S. Jawahar</t>
  </si>
  <si>
    <t>4017006900000287</t>
  </si>
  <si>
    <t>P Pradeep</t>
  </si>
  <si>
    <t>4017000402727877</t>
  </si>
  <si>
    <t xml:space="preserve">S Johny James </t>
  </si>
  <si>
    <t>4017000102775822</t>
  </si>
  <si>
    <t>K Divya Teja</t>
  </si>
  <si>
    <t>4017000402727716</t>
  </si>
  <si>
    <t>V K Sri Murali</t>
  </si>
  <si>
    <t>4017000402729042</t>
  </si>
  <si>
    <t>Arun  Sacos</t>
  </si>
  <si>
    <t>4017000402728715</t>
  </si>
  <si>
    <t>A Kesavulu</t>
  </si>
  <si>
    <t>616065335</t>
  </si>
  <si>
    <t xml:space="preserve">A Rajasekhar </t>
  </si>
  <si>
    <t>4017000402717153</t>
  </si>
  <si>
    <t>R Rajesh</t>
  </si>
  <si>
    <t>4017000402713838</t>
  </si>
  <si>
    <t xml:space="preserve">Dr S Jagadeesha </t>
  </si>
  <si>
    <t>Professor &amp; HOD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</si>
  <si>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</si>
  <si>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</si>
  <si>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</si>
  <si>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</si>
  <si>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</si>
  <si>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</si>
  <si>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</si>
  <si>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</si>
  <si>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</si>
  <si>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4017000402716084</t>
  </si>
  <si>
    <t>S.Nagaraj</t>
  </si>
  <si>
    <t>4017000402716543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</si>
  <si>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</si>
  <si>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</si>
  <si>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</si>
  <si>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</si>
  <si>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</si>
  <si>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</si>
  <si>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</si>
  <si>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Asst Prof</t>
  </si>
  <si>
    <t>4017000402729051</t>
  </si>
  <si>
    <t>K.Venkataramana Reddy</t>
  </si>
  <si>
    <t>4017000102774841</t>
  </si>
  <si>
    <t>Om Prakash</t>
  </si>
  <si>
    <t>4932000100085114</t>
  </si>
  <si>
    <t>M.Mohan Raju</t>
  </si>
  <si>
    <t>4017000402717816</t>
  </si>
  <si>
    <t>D.Srihari</t>
  </si>
  <si>
    <t>4017000102775716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</si>
  <si>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</si>
  <si>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</si>
  <si>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</si>
  <si>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</si>
  <si>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</si>
  <si>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</si>
  <si>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</si>
  <si>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</si>
  <si>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</si>
  <si>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</si>
  <si>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</si>
  <si>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4017000402722030</t>
  </si>
  <si>
    <t>Dr.S.Ranjani</t>
  </si>
  <si>
    <t>0486000100375310</t>
  </si>
  <si>
    <t>G.Sreepriya</t>
  </si>
  <si>
    <t>4017000402715818</t>
  </si>
  <si>
    <t>R Kannan</t>
  </si>
  <si>
    <t>4017000102780426</t>
  </si>
  <si>
    <t>P.Jyotheeswari</t>
  </si>
  <si>
    <t>Assoc.Prof &amp; HOD</t>
  </si>
  <si>
    <t>4017000402716136</t>
  </si>
  <si>
    <t>K.Thyagarajan</t>
  </si>
  <si>
    <t>4017000402714581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</si>
  <si>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</si>
  <si>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</si>
  <si>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</si>
  <si>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</si>
  <si>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</si>
  <si>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</si>
  <si>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</si>
  <si>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</si>
  <si>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</si>
  <si>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</si>
  <si>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</si>
  <si>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</si>
  <si>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</si>
  <si>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</si>
  <si>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</si>
  <si>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</si>
  <si>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</si>
  <si>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</si>
  <si>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</si>
  <si>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</si>
  <si>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</si>
  <si>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</si>
  <si>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</si>
  <si>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</si>
  <si>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</si>
  <si>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</si>
  <si>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</si>
  <si>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</si>
  <si>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</si>
  <si>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</si>
  <si>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</si>
  <si>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</si>
  <si>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</si>
  <si>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</si>
  <si>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</si>
  <si>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</si>
  <si>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</si>
  <si>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</si>
  <si>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</si>
  <si>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</si>
  <si>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</si>
  <si>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</si>
  <si>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</si>
  <si>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</si>
  <si>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</si>
  <si>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</si>
  <si>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</si>
  <si>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</si>
  <si>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</si>
  <si>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</si>
  <si>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</si>
  <si>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4017000402714031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</si>
  <si>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</si>
  <si>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</si>
  <si>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</si>
  <si>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</si>
  <si>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</si>
  <si>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</si>
  <si>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</si>
  <si>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</si>
  <si>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</si>
  <si>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N.Sendhil Kumar</t>
  </si>
  <si>
    <t>Assoc.Prof
&amp; HOD</t>
  </si>
  <si>
    <t>4017000402713926</t>
  </si>
  <si>
    <t>M.Satish Kumar</t>
  </si>
  <si>
    <t>4017000402714280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</si>
  <si>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</si>
  <si>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</si>
  <si>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</si>
  <si>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</si>
  <si>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</si>
  <si>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</si>
  <si>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G.Dhanasekar</t>
  </si>
  <si>
    <t>4017000402713892</t>
  </si>
  <si>
    <t>Subrata Chowdhury</t>
  </si>
  <si>
    <t>6049650392</t>
  </si>
  <si>
    <t>Dr.E.Lokanadha Reddy</t>
  </si>
  <si>
    <t>Professor
&amp; HOD</t>
  </si>
  <si>
    <t>4017000402714095</t>
  </si>
  <si>
    <t>Dr.N.Giri Babu</t>
  </si>
  <si>
    <t xml:space="preserve">Asso.Prof
</t>
  </si>
  <si>
    <t>4017000402718648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</si>
  <si>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</si>
  <si>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</si>
  <si>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</si>
  <si>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</si>
  <si>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</si>
  <si>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</si>
  <si>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</si>
  <si>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</si>
  <si>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</si>
  <si>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</si>
  <si>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>M.Jalaja</t>
  </si>
  <si>
    <t>4017000402716729</t>
  </si>
  <si>
    <t xml:space="preserve">Dr.C.Rajanikanth </t>
  </si>
  <si>
    <t>4017000402715377</t>
  </si>
  <si>
    <t xml:space="preserve">M.Suresh </t>
  </si>
  <si>
    <t>4017000402714721</t>
  </si>
  <si>
    <t>K.Bindhumadhavi</t>
  </si>
  <si>
    <t>4017000402722386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</si>
  <si>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</si>
  <si>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</si>
  <si>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</si>
  <si>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</si>
  <si>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</si>
  <si>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</si>
  <si>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</si>
  <si>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</si>
  <si>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</si>
  <si>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</si>
  <si>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</si>
  <si>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 xml:space="preserve">Dr.V.L.Nirmal Bhargavi </t>
  </si>
  <si>
    <t>4017000402716233</t>
  </si>
  <si>
    <t xml:space="preserve">Dr.K.Komala </t>
  </si>
  <si>
    <t>Assoc.Prof&amp;HOD</t>
  </si>
  <si>
    <t>4017000402716668</t>
  </si>
  <si>
    <t>A.Bhuvaneswari</t>
  </si>
  <si>
    <t>4017000402716224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</si>
  <si>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</si>
  <si>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</si>
  <si>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</si>
  <si>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</si>
  <si>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</si>
  <si>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</si>
  <si>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</si>
  <si>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</si>
  <si>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>V.Sujatha</t>
  </si>
  <si>
    <t>4017000402722289</t>
  </si>
  <si>
    <t xml:space="preserve">A Mohan Rami Reddy </t>
  </si>
  <si>
    <t>4017000402722270</t>
  </si>
  <si>
    <t xml:space="preserve">V Vidya </t>
  </si>
  <si>
    <t>4017000402722304</t>
  </si>
  <si>
    <t>C.K.Selvi</t>
  </si>
  <si>
    <t>4017000402722377</t>
  </si>
  <si>
    <t>P Gopi Krishna</t>
  </si>
  <si>
    <t>4557000400008236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</si>
  <si>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</si>
  <si>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</si>
  <si>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</si>
  <si>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</si>
  <si>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</si>
  <si>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</si>
  <si>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</si>
  <si>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</si>
  <si>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</si>
  <si>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</si>
  <si>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</si>
  <si>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</si>
  <si>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</si>
  <si>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</si>
  <si>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</si>
  <si>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</si>
  <si>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</si>
  <si>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</si>
  <si>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</si>
  <si>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</si>
  <si>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</si>
  <si>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</si>
  <si>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</si>
  <si>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</si>
  <si>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</si>
  <si>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</si>
  <si>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</si>
  <si>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</si>
  <si>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</si>
  <si>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</si>
  <si>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S.Swathy</t>
  </si>
  <si>
    <t>0949101043867</t>
  </si>
  <si>
    <t>Dr.Gowri Shankar</t>
  </si>
  <si>
    <t>736304898</t>
  </si>
  <si>
    <t>Dr.M.Earnest Stephen Gnanadoss</t>
  </si>
  <si>
    <t>6051557934</t>
  </si>
  <si>
    <t>G.B.Reddy</t>
  </si>
  <si>
    <t>P.D</t>
  </si>
  <si>
    <t>4017000402715739</t>
  </si>
  <si>
    <t>Salary Bill for the Month of July 2018</t>
  </si>
  <si>
    <t xml:space="preserve">    HR</t>
  </si>
  <si>
    <t>B. Prudhvi Raj</t>
  </si>
  <si>
    <t>GRA</t>
  </si>
  <si>
    <t>564310054392024</t>
  </si>
  <si>
    <t>C. Navadeep Kumar</t>
  </si>
  <si>
    <t>Editor</t>
  </si>
  <si>
    <t>CNRB0003735</t>
  </si>
  <si>
    <t>R Govindarajulu</t>
  </si>
  <si>
    <t>Store Incharge</t>
  </si>
  <si>
    <t>CE</t>
  </si>
  <si>
    <t>Comp. Opt</t>
  </si>
  <si>
    <t>6371392445</t>
  </si>
  <si>
    <t>102010100107708</t>
  </si>
  <si>
    <t>SBIN0016483</t>
  </si>
  <si>
    <t>4017000402717922</t>
  </si>
  <si>
    <t>B. Kalyani</t>
  </si>
  <si>
    <t>37069078486</t>
  </si>
  <si>
    <t>M. Sirisha</t>
  </si>
  <si>
    <t>110176763825</t>
  </si>
  <si>
    <t>A. Swapna</t>
  </si>
  <si>
    <t>Lab_Asst.</t>
  </si>
  <si>
    <t>BARB0VJCHIT</t>
  </si>
  <si>
    <t>84220100023515</t>
  </si>
  <si>
    <t>H. Navya</t>
  </si>
  <si>
    <t>50100404311302</t>
  </si>
  <si>
    <t>T. Jyothiraj Sagar</t>
  </si>
  <si>
    <t>Video Editor</t>
  </si>
  <si>
    <t>38075239213</t>
  </si>
  <si>
    <t>(July, Aug &amp; Sep)</t>
  </si>
  <si>
    <t>Non Teaching - Salary Bill for the Month of June 2026</t>
  </si>
  <si>
    <t>S. Noorulla</t>
  </si>
  <si>
    <t>DOJ: 03.06.2026</t>
  </si>
  <si>
    <t>D. Shobha Rani</t>
  </si>
  <si>
    <t>(July)</t>
  </si>
  <si>
    <t>HDFC0000694</t>
  </si>
  <si>
    <t>50100329857025</t>
  </si>
  <si>
    <t>DOJ: 05.06.2026</t>
  </si>
  <si>
    <t>T. Radhika</t>
  </si>
  <si>
    <t>SBIN0006515</t>
  </si>
  <si>
    <t>45188998032</t>
  </si>
  <si>
    <t>DOJ: 12.06.2026</t>
  </si>
  <si>
    <t>Sri Venkateswara College of Engineering and Technology</t>
  </si>
  <si>
    <t>July, August</t>
  </si>
  <si>
    <t>4017000102778041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</si>
</sst>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>
    <font>
      <sz val="11"/>
      <name val="Calibri"/>
      <charset val="134"/>
      <scheme val="minor"/>
    </font>
    <font>
      <b/>
      <sz val="10"/>
      <color rgb="FF17365D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506070"/>
      <name val="Effra"/>
      <charset val="134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color rgb="FF17365D"/>
      <name val="Times New Roman"/>
      <family val="1"/>
    </font>
    <font>
      <sz val="1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9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65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" fillId="4" borderId="0" xfId="0" applyNumberFormat="1" applyFont="1" applyFill="1" applyAlignment="1">
      <alignment vertical="center" wrapText="1"/>
    </xf>
    <xf numFmtId="165" fontId="2" fillId="4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 wrapText="1"/>
    </xf>
    <xf numFmtId="164" fontId="2" fillId="0" borderId="0" xfId="0" quotePrefix="1" applyNumberFormat="1" applyFont="1" applyAlignment="1">
      <alignment horizontal="center" vertical="center"/>
    </xf>
    <xf numFmtId="164" fontId="2" fillId="4" borderId="0" xfId="0" quotePrefix="1" applyNumberFormat="1" applyFont="1" applyFill="1" applyAlignment="1">
      <alignment horizontal="center" vertical="center"/>
    </xf>
    <xf numFmtId="0" fontId="4" fillId="0" borderId="0" xfId="0" quotePrefix="1" applyFont="1"/>
    <xf numFmtId="165" fontId="2" fillId="0" borderId="0" xfId="0" quotePrefix="1" applyNumberFormat="1" applyFont="1" applyAlignment="1">
      <alignment horizontal="center" vertical="center"/>
    </xf>
    <xf numFmtId="165" fontId="2" fillId="2" borderId="0" xfId="0" quotePrefix="1" applyNumberFormat="1" applyFont="1" applyFill="1" applyAlignment="1">
      <alignment horizontal="center" vertical="center"/>
    </xf>
    <xf numFmtId="165" fontId="2" fillId="4" borderId="0" xfId="0" quotePrefix="1" applyNumberFormat="1" applyFont="1" applyFill="1" applyAlignment="1">
      <alignment horizontal="center" vertical="center"/>
    </xf>
    <xf numFmtId="165" fontId="2" fillId="3" borderId="0" xfId="0" quotePrefix="1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5" borderId="2" xfId="0" applyNumberFormat="1" applyFont="1" applyFill="1" applyBorder="1" applyAlignment="1">
      <alignment vertical="center" wrapText="1"/>
    </xf>
    <xf numFmtId="165" fontId="7" fillId="0" borderId="2" xfId="0" applyNumberFormat="1" applyFont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2" xfId="0" quotePrefix="1" applyNumberFormat="1" applyFont="1" applyBorder="1" applyAlignment="1">
      <alignment horizontal="center" vertical="center"/>
    </xf>
    <xf numFmtId="0" fontId="10" fillId="0" borderId="0" xfId="0" applyFont="1"/>
    <xf numFmtId="165" fontId="7" fillId="6" borderId="2" xfId="0" applyNumberFormat="1" applyFont="1" applyFill="1" applyBorder="1" applyAlignment="1">
      <alignment vertical="center" wrapText="1"/>
    </xf>
    <xf numFmtId="165" fontId="7" fillId="6" borderId="2" xfId="0" applyNumberFormat="1" applyFont="1" applyFill="1" applyBorder="1" applyAlignment="1">
      <alignment horizontal="center" vertical="center" wrapText="1"/>
    </xf>
    <xf numFmtId="165" fontId="7" fillId="6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 wrapText="1"/>
    </xf>
    <xf numFmtId="164" fontId="7" fillId="6" borderId="2" xfId="0" quotePrefix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0" xfId="0" applyFont="1" applyFill="1"/>
    <xf numFmtId="165" fontId="7" fillId="7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165" fontId="7" fillId="0" borderId="0" xfId="0" applyNumberFormat="1" applyFont="1" applyAlignment="1">
      <alignment vertical="center" wrapText="1"/>
    </xf>
    <xf numFmtId="0" fontId="7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165" fontId="12" fillId="8" borderId="2" xfId="0" applyNumberFormat="1" applyFont="1" applyFill="1" applyBorder="1" applyAlignment="1">
      <alignment horizontal="left" vertical="center" wrapText="1"/>
    </xf>
    <xf numFmtId="165" fontId="12" fillId="8" borderId="2" xfId="0" applyNumberFormat="1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12" fillId="0" borderId="0" xfId="0" applyFont="1"/>
    <xf numFmtId="0" fontId="7" fillId="0" borderId="2" xfId="0" applyFont="1" applyBorder="1" applyAlignment="1">
      <alignment horizontal="center" wrapText="1"/>
    </xf>
    <xf numFmtId="0" fontId="7" fillId="0" borderId="2" xfId="0" quotePrefix="1" applyFont="1" applyBorder="1" applyAlignment="1">
      <alignment horizontal="center" wrapText="1"/>
    </xf>
    <xf numFmtId="165" fontId="6" fillId="0" borderId="2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6" fillId="5" borderId="2" xfId="1" applyNumberFormat="1" applyFont="1" applyFill="1" applyBorder="1" applyAlignment="1">
      <alignment vertical="center" wrapText="1"/>
    </xf>
    <xf numFmtId="165" fontId="7" fillId="0" borderId="2" xfId="1" applyNumberFormat="1" applyFont="1" applyBorder="1" applyAlignment="1">
      <alignment horizontal="center" vertical="center" wrapText="1"/>
    </xf>
    <xf numFmtId="43" fontId="6" fillId="0" borderId="2" xfId="1" applyNumberFormat="1" applyFont="1" applyBorder="1" applyAlignment="1">
      <alignment horizontal="center" vertical="center" wrapText="1"/>
    </xf>
    <xf numFmtId="43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165" fontId="12" fillId="9" borderId="2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vertical="center" wrapText="1"/>
    </xf>
    <xf numFmtId="165" fontId="7" fillId="9" borderId="2" xfId="0" applyNumberFormat="1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0" fontId="7" fillId="9" borderId="2" xfId="0" quotePrefix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165" fontId="12" fillId="8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left" vertical="center"/>
    </xf>
    <xf numFmtId="164" fontId="7" fillId="8" borderId="2" xfId="0" applyNumberFormat="1" applyFont="1" applyFill="1" applyBorder="1" applyAlignment="1">
      <alignment horizontal="left"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7" fillId="9" borderId="2" xfId="0" quotePrefix="1" applyNumberFormat="1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center" vertical="center"/>
    </xf>
    <xf numFmtId="165" fontId="12" fillId="9" borderId="2" xfId="0" applyNumberFormat="1" applyFont="1" applyFill="1" applyBorder="1" applyAlignment="1">
      <alignment vertical="center" wrapText="1"/>
    </xf>
    <xf numFmtId="1" fontId="7" fillId="9" borderId="2" xfId="1" applyNumberFormat="1" applyFont="1" applyFill="1" applyBorder="1" applyAlignment="1">
      <alignment horizontal="center" vertical="center"/>
    </xf>
    <xf numFmtId="0" fontId="7" fillId="9" borderId="2" xfId="1" applyFont="1" applyFill="1" applyBorder="1" applyAlignment="1">
      <alignment horizontal="center" vertical="center"/>
    </xf>
    <xf numFmtId="164" fontId="7" fillId="0" borderId="2" xfId="0" quotePrefix="1" applyNumberFormat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center" vertical="center"/>
    </xf>
    <xf numFmtId="165" fontId="12" fillId="10" borderId="2" xfId="0" applyNumberFormat="1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left" vertical="center"/>
    </xf>
    <xf numFmtId="164" fontId="7" fillId="10" borderId="2" xfId="0" applyNumberFormat="1" applyFont="1" applyFill="1" applyBorder="1" applyAlignment="1">
      <alignment horizontal="center" vertical="center"/>
    </xf>
    <xf numFmtId="165" fontId="7" fillId="10" borderId="2" xfId="0" applyNumberFormat="1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center" vertical="center" wrapText="1"/>
    </xf>
    <xf numFmtId="165" fontId="12" fillId="10" borderId="2" xfId="0" applyNumberFormat="1" applyFont="1" applyFill="1" applyBorder="1" applyAlignment="1">
      <alignment horizontal="center" vertical="center" wrapText="1"/>
    </xf>
    <xf numFmtId="165" fontId="7" fillId="10" borderId="2" xfId="0" applyNumberFormat="1" applyFont="1" applyFill="1" applyBorder="1" applyAlignment="1">
      <alignment horizontal="left" vertical="center"/>
    </xf>
    <xf numFmtId="165" fontId="7" fillId="10" borderId="2" xfId="0" applyNumberFormat="1" applyFont="1" applyFill="1" applyBorder="1" applyAlignment="1">
      <alignment horizontal="center" vertical="center" wrapText="1"/>
    </xf>
    <xf numFmtId="1" fontId="7" fillId="10" borderId="2" xfId="1" quotePrefix="1" applyNumberFormat="1" applyFont="1" applyFill="1" applyBorder="1" applyAlignment="1">
      <alignment horizontal="center" vertical="center"/>
    </xf>
    <xf numFmtId="0" fontId="7" fillId="10" borderId="2" xfId="1" applyFont="1" applyFill="1" applyBorder="1" applyAlignment="1">
      <alignment horizontal="center" vertical="center"/>
    </xf>
    <xf numFmtId="164" fontId="12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65" fontId="7" fillId="8" borderId="2" xfId="0" applyNumberFormat="1" applyFont="1" applyFill="1" applyBorder="1" applyAlignment="1">
      <alignment vertical="center" wrapText="1"/>
    </xf>
    <xf numFmtId="165" fontId="7" fillId="8" borderId="2" xfId="0" applyNumberFormat="1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0" fontId="7" fillId="8" borderId="0" xfId="0" applyFont="1" applyFill="1"/>
    <xf numFmtId="43" fontId="7" fillId="0" borderId="2" xfId="0" quotePrefix="1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65" fontId="7" fillId="0" borderId="2" xfId="0" quotePrefix="1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0" fontId="7" fillId="6" borderId="2" xfId="0" quotePrefix="1" applyFont="1" applyFill="1" applyBorder="1" applyAlignment="1">
      <alignment horizontal="center" vertical="center"/>
    </xf>
    <xf numFmtId="0" fontId="7" fillId="8" borderId="2" xfId="0" quotePrefix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4" fontId="7" fillId="8" borderId="2" xfId="0" quotePrefix="1" applyNumberFormat="1" applyFont="1" applyFill="1" applyBorder="1" applyAlignment="1">
      <alignment horizontal="left" vertical="center"/>
    </xf>
    <xf numFmtId="164" fontId="7" fillId="8" borderId="2" xfId="0" quotePrefix="1" applyNumberFormat="1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43" fontId="7" fillId="0" borderId="2" xfId="2" quotePrefix="1" applyNumberFormat="1" applyFont="1" applyBorder="1" applyAlignment="1">
      <alignment horizontal="left" vertical="center"/>
    </xf>
    <xf numFmtId="43" fontId="7" fillId="8" borderId="2" xfId="2" quotePrefix="1" applyNumberFormat="1" applyFont="1" applyFill="1" applyBorder="1" applyAlignment="1">
      <alignment horizontal="center" vertical="center"/>
    </xf>
    <xf numFmtId="43" fontId="7" fillId="0" borderId="2" xfId="2" applyNumberFormat="1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11" borderId="2" xfId="0" applyNumberFormat="1" applyFont="1" applyFill="1" applyBorder="1" applyAlignment="1">
      <alignment horizontal="center" vertical="center"/>
    </xf>
    <xf numFmtId="165" fontId="7" fillId="11" borderId="2" xfId="0" applyNumberFormat="1" applyFont="1" applyFill="1" applyBorder="1" applyAlignment="1">
      <alignment vertical="center" wrapText="1"/>
    </xf>
    <xf numFmtId="165" fontId="7" fillId="11" borderId="2" xfId="0" applyNumberFormat="1" applyFont="1" applyFill="1" applyBorder="1" applyAlignment="1">
      <alignment horizontal="center" vertical="center" wrapText="1"/>
    </xf>
    <xf numFmtId="164" fontId="7" fillId="11" borderId="2" xfId="0" applyNumberFormat="1" applyFont="1" applyFill="1" applyBorder="1" applyAlignment="1">
      <alignment horizontal="center" vertical="center" wrapText="1"/>
    </xf>
    <xf numFmtId="164" fontId="7" fillId="11" borderId="2" xfId="0" quotePrefix="1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wrapText="1"/>
    </xf>
    <xf numFmtId="0" fontId="7" fillId="11" borderId="2" xfId="0" applyFont="1" applyFill="1" applyBorder="1" applyAlignment="1">
      <alignment horizontal="center" wrapText="1"/>
    </xf>
    <xf numFmtId="165" fontId="12" fillId="11" borderId="2" xfId="0" applyNumberFormat="1" applyFont="1" applyFill="1" applyBorder="1" applyAlignment="1">
      <alignment vertical="center" wrapText="1"/>
    </xf>
    <xf numFmtId="165" fontId="12" fillId="11" borderId="2" xfId="0" applyNumberFormat="1" applyFont="1" applyFill="1" applyBorder="1" applyAlignment="1">
      <alignment horizontal="center" vertical="center" wrapText="1"/>
    </xf>
    <xf numFmtId="165" fontId="12" fillId="11" borderId="2" xfId="0" applyNumberFormat="1" applyFont="1" applyFill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wrapText="1"/>
    </xf>
    <xf numFmtId="0" fontId="11" fillId="11" borderId="2" xfId="0" applyFont="1" applyFill="1" applyBorder="1" applyAlignment="1">
      <alignment horizontal="center" vertical="center" wrapText="1"/>
    </xf>
    <xf numFmtId="165" fontId="7" fillId="9" borderId="2" xfId="0" quotePrefix="1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/>
    <xf numFmtId="165" fontId="1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FF"/>
      <color rgb="FFFF66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"/>
  <sheetViews>
    <sheetView tabSelected="1" topLeftCell="A43" zoomScale="90" zoomScaleNormal="90" workbookViewId="0">
      <selection activeCell="AF62" sqref="AF62"/>
    </sheetView>
  </sheetViews>
  <sheetFormatPr defaultColWidth="14.42578125" defaultRowHeight="15" customHeight="1"/>
  <cols>
    <col min="1" max="1" width="5.28515625" style="162" bestFit="1" customWidth="1"/>
    <col min="2" max="2" width="5.85546875" style="55" customWidth="1"/>
    <col min="3" max="3" width="28.42578125" style="55" customWidth="1"/>
    <col min="4" max="4" width="14" style="55" customWidth="1"/>
    <col min="5" max="5" width="10.42578125" style="55" customWidth="1"/>
    <col min="6" max="6" width="11.42578125" style="55" customWidth="1"/>
    <col min="7" max="9" width="6.5703125" style="55" hidden="1" customWidth="1"/>
    <col min="10" max="10" width="6.5703125" style="55" customWidth="1"/>
    <col min="11" max="13" width="6.5703125" style="55" hidden="1" customWidth="1"/>
    <col min="14" max="14" width="8.7109375" style="55" customWidth="1"/>
    <col min="15" max="16" width="6.5703125" style="55" hidden="1" customWidth="1"/>
    <col min="17" max="17" width="10" style="55" customWidth="1"/>
    <col min="18" max="18" width="6.5703125" style="55" customWidth="1"/>
    <col min="19" max="19" width="7.140625" style="55" hidden="1" customWidth="1"/>
    <col min="20" max="21" width="7.42578125" style="55" customWidth="1"/>
    <col min="22" max="22" width="6.42578125" style="55" hidden="1" customWidth="1"/>
    <col min="23" max="23" width="7.42578125" style="55" hidden="1" customWidth="1"/>
    <col min="24" max="24" width="5" style="55" hidden="1" customWidth="1"/>
    <col min="25" max="25" width="10.42578125" style="55" customWidth="1"/>
    <col min="26" max="26" width="7.5703125" style="55" customWidth="1"/>
    <col min="27" max="27" width="10" style="55" customWidth="1"/>
    <col min="28" max="28" width="18.85546875" style="162" bestFit="1" customWidth="1"/>
    <col min="29" max="29" width="15.140625" style="162" customWidth="1"/>
    <col min="30" max="30" width="17" style="55" customWidth="1"/>
    <col min="31" max="31" width="16.140625" style="55" customWidth="1"/>
    <col min="32" max="32" width="16" style="55" customWidth="1"/>
    <col min="33" max="16384" width="14.42578125" style="55"/>
  </cols>
  <sheetData>
    <row r="1" spans="1:29" ht="12.75">
      <c r="A1" s="179" t="s">
        <v>624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29" ht="12.75">
      <c r="A2" s="182" t="s">
        <v>612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4"/>
    </row>
    <row r="3" spans="1:29" ht="25.5" customHeight="1">
      <c r="A3" s="56" t="s">
        <v>1</v>
      </c>
      <c r="B3" s="56" t="s">
        <v>2</v>
      </c>
      <c r="C3" s="57" t="s">
        <v>3</v>
      </c>
      <c r="D3" s="56" t="s">
        <v>4</v>
      </c>
      <c r="E3" s="56" t="s">
        <v>5</v>
      </c>
      <c r="F3" s="56" t="s">
        <v>6</v>
      </c>
      <c r="G3" s="56" t="s">
        <v>7</v>
      </c>
      <c r="H3" s="56" t="s">
        <v>8</v>
      </c>
      <c r="I3" s="56" t="s">
        <v>9</v>
      </c>
      <c r="J3" s="58" t="s">
        <v>10</v>
      </c>
      <c r="K3" s="56" t="s">
        <v>11</v>
      </c>
      <c r="L3" s="56" t="s">
        <v>12</v>
      </c>
      <c r="M3" s="56" t="s">
        <v>13</v>
      </c>
      <c r="N3" s="56" t="s">
        <v>14</v>
      </c>
      <c r="O3" s="56" t="s">
        <v>15</v>
      </c>
      <c r="P3" s="56" t="s">
        <v>16</v>
      </c>
      <c r="Q3" s="56" t="s">
        <v>17</v>
      </c>
      <c r="R3" s="56" t="s">
        <v>18</v>
      </c>
      <c r="S3" s="56" t="s">
        <v>19</v>
      </c>
      <c r="T3" s="56" t="s">
        <v>20</v>
      </c>
      <c r="U3" s="56" t="s">
        <v>21</v>
      </c>
      <c r="V3" s="56" t="s">
        <v>22</v>
      </c>
      <c r="W3" s="56" t="s">
        <v>23</v>
      </c>
      <c r="X3" s="56" t="s">
        <v>24</v>
      </c>
      <c r="Y3" s="56" t="s">
        <v>25</v>
      </c>
      <c r="Z3" s="56" t="s">
        <v>26</v>
      </c>
      <c r="AA3" s="56" t="s">
        <v>27</v>
      </c>
      <c r="AB3" s="58" t="s">
        <v>28</v>
      </c>
      <c r="AC3" s="59" t="s">
        <v>29</v>
      </c>
    </row>
    <row r="4" spans="1:29" ht="21.75" customHeight="1">
      <c r="A4" s="60"/>
      <c r="B4" s="60"/>
      <c r="C4" s="61" t="s">
        <v>30</v>
      </c>
      <c r="D4" s="62"/>
      <c r="E4" s="60"/>
      <c r="F4" s="60"/>
      <c r="G4" s="60"/>
      <c r="H4" s="60"/>
      <c r="I4" s="60"/>
      <c r="J4" s="63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3"/>
      <c r="AC4" s="64"/>
    </row>
    <row r="5" spans="1:29" ht="12.75">
      <c r="A5" s="65"/>
      <c r="B5" s="60"/>
      <c r="C5" s="66" t="s">
        <v>31</v>
      </c>
      <c r="D5" s="62"/>
      <c r="E5" s="60"/>
      <c r="F5" s="60"/>
      <c r="G5" s="60"/>
      <c r="H5" s="60"/>
      <c r="I5" s="60"/>
      <c r="J5" s="58">
        <v>30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3"/>
      <c r="AC5" s="64"/>
    </row>
    <row r="6" spans="1:29" ht="30" customHeight="1">
      <c r="A6" s="60">
        <v>1</v>
      </c>
      <c r="B6" s="60">
        <v>1</v>
      </c>
      <c r="C6" s="67" t="s">
        <v>32</v>
      </c>
      <c r="D6" s="62" t="s">
        <v>33</v>
      </c>
      <c r="E6" s="60">
        <v>55000</v>
      </c>
      <c r="F6" s="60">
        <v>55000</v>
      </c>
      <c r="G6" s="60"/>
      <c r="H6" s="60"/>
      <c r="I6" s="60"/>
      <c r="J6" s="68">
        <v>30</v>
      </c>
      <c r="K6" s="60"/>
      <c r="L6" s="60"/>
      <c r="M6" s="60"/>
      <c r="N6" s="60"/>
      <c r="O6" s="60"/>
      <c r="P6" s="60"/>
      <c r="Q6" s="62">
        <f t="shared" ref="Q6:Q11" si="0">ROUNDUP(F6/J$5*J6+N6,0)</f>
        <v>55000</v>
      </c>
      <c r="R6" s="62"/>
      <c r="S6" s="62"/>
      <c r="T6" s="62">
        <f t="shared" ref="T6:T11" si="1">IF(Q6&gt;20001,200,IF(Q6&gt;15001,150,IF(Q6&lt;15000,0,)))</f>
        <v>200</v>
      </c>
      <c r="U6" s="62">
        <f t="shared" ref="U6:U12" si="2">IF(Q6,IF(1,30),IF(1,0))</f>
        <v>30</v>
      </c>
      <c r="V6" s="62"/>
      <c r="W6" s="62"/>
      <c r="X6" s="62"/>
      <c r="Y6" s="62"/>
      <c r="Z6" s="62">
        <f t="shared" ref="Z6:Z11" si="3">SUM(R6:Y6)</f>
        <v>230</v>
      </c>
      <c r="AA6" s="62">
        <f t="shared" ref="AA6:AA11" si="4">Q6-Z6</f>
        <v>54770</v>
      </c>
      <c r="AB6" s="69" t="s">
        <v>34</v>
      </c>
      <c r="AC6" s="64" t="s">
        <v>35</v>
      </c>
    </row>
    <row r="7" spans="1:29" ht="30" customHeight="1">
      <c r="A7" s="60">
        <v>2</v>
      </c>
      <c r="B7" s="60">
        <v>2</v>
      </c>
      <c r="C7" s="67" t="s">
        <v>36</v>
      </c>
      <c r="D7" s="62" t="s">
        <v>37</v>
      </c>
      <c r="E7" s="60">
        <v>21000</v>
      </c>
      <c r="F7" s="60">
        <v>21000</v>
      </c>
      <c r="G7" s="60"/>
      <c r="H7" s="60"/>
      <c r="I7" s="60"/>
      <c r="J7" s="68">
        <v>30</v>
      </c>
      <c r="K7" s="60"/>
      <c r="L7" s="60"/>
      <c r="M7" s="60"/>
      <c r="N7" s="60"/>
      <c r="O7" s="60"/>
      <c r="P7" s="60"/>
      <c r="Q7" s="62">
        <f t="shared" si="0"/>
        <v>21000</v>
      </c>
      <c r="R7" s="62"/>
      <c r="S7" s="62"/>
      <c r="T7" s="62">
        <f t="shared" si="1"/>
        <v>200</v>
      </c>
      <c r="U7" s="62">
        <f t="shared" si="2"/>
        <v>30</v>
      </c>
      <c r="V7" s="62"/>
      <c r="W7" s="62"/>
      <c r="X7" s="62"/>
      <c r="Y7" s="62"/>
      <c r="Z7" s="62">
        <f t="shared" si="3"/>
        <v>230</v>
      </c>
      <c r="AA7" s="62">
        <f t="shared" si="4"/>
        <v>20770</v>
      </c>
      <c r="AB7" s="69" t="s">
        <v>38</v>
      </c>
      <c r="AC7" s="64" t="s">
        <v>35</v>
      </c>
    </row>
    <row r="8" spans="1:29" s="70" customFormat="1" ht="30" customHeight="1">
      <c r="A8" s="163">
        <v>3</v>
      </c>
      <c r="B8" s="163">
        <v>3</v>
      </c>
      <c r="C8" s="164" t="s">
        <v>39</v>
      </c>
      <c r="D8" s="165" t="s">
        <v>37</v>
      </c>
      <c r="E8" s="163">
        <v>20000</v>
      </c>
      <c r="F8" s="163">
        <v>20000</v>
      </c>
      <c r="G8" s="163"/>
      <c r="H8" s="163"/>
      <c r="I8" s="163"/>
      <c r="J8" s="166">
        <v>30</v>
      </c>
      <c r="K8" s="163"/>
      <c r="L8" s="163"/>
      <c r="M8" s="163"/>
      <c r="N8" s="163"/>
      <c r="O8" s="163"/>
      <c r="P8" s="163"/>
      <c r="Q8" s="165">
        <f t="shared" si="0"/>
        <v>20000</v>
      </c>
      <c r="R8" s="165"/>
      <c r="S8" s="165"/>
      <c r="T8" s="165">
        <f t="shared" si="1"/>
        <v>150</v>
      </c>
      <c r="U8" s="165">
        <f t="shared" si="2"/>
        <v>30</v>
      </c>
      <c r="V8" s="165"/>
      <c r="W8" s="165"/>
      <c r="X8" s="165"/>
      <c r="Y8" s="165"/>
      <c r="Z8" s="165">
        <f t="shared" si="3"/>
        <v>180</v>
      </c>
      <c r="AA8" s="165">
        <f t="shared" si="4"/>
        <v>19820</v>
      </c>
      <c r="AB8" s="167" t="s">
        <v>40</v>
      </c>
      <c r="AC8" s="168" t="s">
        <v>41</v>
      </c>
    </row>
    <row r="9" spans="1:29" s="70" customFormat="1" ht="30" customHeight="1">
      <c r="A9" s="60">
        <v>4</v>
      </c>
      <c r="B9" s="60">
        <v>4</v>
      </c>
      <c r="C9" s="67" t="s">
        <v>42</v>
      </c>
      <c r="D9" s="62" t="s">
        <v>43</v>
      </c>
      <c r="E9" s="60">
        <v>16000</v>
      </c>
      <c r="F9" s="60">
        <v>16000</v>
      </c>
      <c r="G9" s="60"/>
      <c r="H9" s="60"/>
      <c r="I9" s="60"/>
      <c r="J9" s="68">
        <v>30</v>
      </c>
      <c r="K9" s="60"/>
      <c r="L9" s="60"/>
      <c r="M9" s="60"/>
      <c r="N9" s="60"/>
      <c r="O9" s="60"/>
      <c r="P9" s="60"/>
      <c r="Q9" s="62">
        <f t="shared" si="0"/>
        <v>16000</v>
      </c>
      <c r="R9" s="62"/>
      <c r="S9" s="62"/>
      <c r="T9" s="62">
        <f t="shared" si="1"/>
        <v>150</v>
      </c>
      <c r="U9" s="62">
        <f t="shared" si="2"/>
        <v>30</v>
      </c>
      <c r="V9" s="62"/>
      <c r="W9" s="62"/>
      <c r="X9" s="62"/>
      <c r="Y9" s="62"/>
      <c r="Z9" s="62">
        <f t="shared" si="3"/>
        <v>180</v>
      </c>
      <c r="AA9" s="62">
        <f t="shared" si="4"/>
        <v>15820</v>
      </c>
      <c r="AB9" s="69" t="s">
        <v>44</v>
      </c>
      <c r="AC9" s="64" t="s">
        <v>45</v>
      </c>
    </row>
    <row r="10" spans="1:29" ht="30" customHeight="1">
      <c r="A10" s="163">
        <v>5</v>
      </c>
      <c r="B10" s="163">
        <v>5</v>
      </c>
      <c r="C10" s="164" t="s">
        <v>46</v>
      </c>
      <c r="D10" s="165" t="s">
        <v>47</v>
      </c>
      <c r="E10" s="163">
        <v>30000</v>
      </c>
      <c r="F10" s="163">
        <v>30000</v>
      </c>
      <c r="G10" s="163"/>
      <c r="H10" s="163"/>
      <c r="I10" s="163"/>
      <c r="J10" s="166">
        <v>30</v>
      </c>
      <c r="K10" s="163"/>
      <c r="L10" s="163"/>
      <c r="M10" s="163"/>
      <c r="N10" s="163"/>
      <c r="O10" s="163"/>
      <c r="P10" s="163"/>
      <c r="Q10" s="165">
        <f t="shared" si="0"/>
        <v>30000</v>
      </c>
      <c r="R10" s="165">
        <v>1800</v>
      </c>
      <c r="S10" s="165"/>
      <c r="T10" s="165">
        <f t="shared" si="1"/>
        <v>200</v>
      </c>
      <c r="U10" s="165">
        <f t="shared" si="2"/>
        <v>30</v>
      </c>
      <c r="V10" s="165"/>
      <c r="W10" s="165"/>
      <c r="X10" s="165"/>
      <c r="Y10" s="165">
        <v>2000</v>
      </c>
      <c r="Z10" s="165">
        <f t="shared" si="3"/>
        <v>4030</v>
      </c>
      <c r="AA10" s="165">
        <f t="shared" si="4"/>
        <v>25970</v>
      </c>
      <c r="AB10" s="167" t="s">
        <v>48</v>
      </c>
      <c r="AC10" s="168" t="s">
        <v>35</v>
      </c>
    </row>
    <row r="11" spans="1:29" ht="30" customHeight="1">
      <c r="A11" s="60">
        <v>6</v>
      </c>
      <c r="B11" s="60">
        <v>6</v>
      </c>
      <c r="C11" s="67" t="s">
        <v>49</v>
      </c>
      <c r="D11" s="62" t="s">
        <v>47</v>
      </c>
      <c r="E11" s="60">
        <v>15500</v>
      </c>
      <c r="F11" s="60">
        <v>15500</v>
      </c>
      <c r="G11" s="60"/>
      <c r="H11" s="60"/>
      <c r="I11" s="60"/>
      <c r="J11" s="68">
        <v>30</v>
      </c>
      <c r="K11" s="60"/>
      <c r="L11" s="60"/>
      <c r="M11" s="60"/>
      <c r="N11" s="60"/>
      <c r="O11" s="60"/>
      <c r="P11" s="60"/>
      <c r="Q11" s="62">
        <f t="shared" si="0"/>
        <v>15500</v>
      </c>
      <c r="R11" s="62"/>
      <c r="S11" s="62"/>
      <c r="T11" s="62">
        <f t="shared" si="1"/>
        <v>150</v>
      </c>
      <c r="U11" s="62">
        <f t="shared" si="2"/>
        <v>30</v>
      </c>
      <c r="V11" s="62"/>
      <c r="W11" s="62"/>
      <c r="X11" s="62"/>
      <c r="Y11" s="62"/>
      <c r="Z11" s="62">
        <f t="shared" si="3"/>
        <v>180</v>
      </c>
      <c r="AA11" s="62">
        <f t="shared" si="4"/>
        <v>15320</v>
      </c>
      <c r="AB11" s="69" t="s">
        <v>50</v>
      </c>
      <c r="AC11" s="64" t="s">
        <v>51</v>
      </c>
    </row>
    <row r="12" spans="1:29" s="77" customFormat="1" ht="30" customHeight="1">
      <c r="A12" s="60">
        <v>7</v>
      </c>
      <c r="B12" s="60">
        <v>7</v>
      </c>
      <c r="C12" s="71" t="s">
        <v>52</v>
      </c>
      <c r="D12" s="72" t="s">
        <v>47</v>
      </c>
      <c r="E12" s="73">
        <v>16000</v>
      </c>
      <c r="F12" s="73">
        <v>16000</v>
      </c>
      <c r="G12" s="73"/>
      <c r="H12" s="73"/>
      <c r="I12" s="73"/>
      <c r="J12" s="74">
        <v>30</v>
      </c>
      <c r="K12" s="73"/>
      <c r="L12" s="73"/>
      <c r="M12" s="73"/>
      <c r="N12" s="73"/>
      <c r="O12" s="73"/>
      <c r="P12" s="73"/>
      <c r="Q12" s="72">
        <f t="shared" ref="Q12:Q16" si="5">ROUNDUP(F12/J$5*J12+N12,0)</f>
        <v>16000</v>
      </c>
      <c r="R12" s="72"/>
      <c r="S12" s="72"/>
      <c r="T12" s="72">
        <f t="shared" ref="T12:T16" si="6">IF(Q12&gt;20001,200,IF(Q12&gt;15001,150,IF(Q12&lt;15000,0,)))</f>
        <v>150</v>
      </c>
      <c r="U12" s="72">
        <f t="shared" si="2"/>
        <v>30</v>
      </c>
      <c r="V12" s="72"/>
      <c r="W12" s="72"/>
      <c r="X12" s="72"/>
      <c r="Y12" s="72"/>
      <c r="Z12" s="72">
        <f t="shared" ref="Z12:Z16" si="7">SUM(R12:Y12)</f>
        <v>180</v>
      </c>
      <c r="AA12" s="72">
        <f t="shared" ref="AA12:AA16" si="8">Q12-Z12</f>
        <v>15820</v>
      </c>
      <c r="AB12" s="75" t="s">
        <v>595</v>
      </c>
      <c r="AC12" s="76" t="s">
        <v>53</v>
      </c>
    </row>
    <row r="13" spans="1:29" ht="30" customHeight="1">
      <c r="A13" s="60">
        <v>8</v>
      </c>
      <c r="B13" s="60">
        <v>8</v>
      </c>
      <c r="C13" s="67" t="s">
        <v>62</v>
      </c>
      <c r="D13" s="62" t="s">
        <v>63</v>
      </c>
      <c r="E13" s="60">
        <v>75000</v>
      </c>
      <c r="F13" s="60">
        <v>75000</v>
      </c>
      <c r="G13" s="60"/>
      <c r="H13" s="60"/>
      <c r="I13" s="60"/>
      <c r="J13" s="68">
        <v>30</v>
      </c>
      <c r="K13" s="60"/>
      <c r="L13" s="60"/>
      <c r="M13" s="60"/>
      <c r="N13" s="60"/>
      <c r="O13" s="60"/>
      <c r="P13" s="60"/>
      <c r="Q13" s="62">
        <f t="shared" si="5"/>
        <v>75000</v>
      </c>
      <c r="R13" s="62"/>
      <c r="S13" s="62"/>
      <c r="T13" s="62">
        <f t="shared" si="6"/>
        <v>200</v>
      </c>
      <c r="U13" s="62">
        <f t="shared" ref="U13:U16" si="9">IF(Q13,IF(1,30),IF(1,0))</f>
        <v>30</v>
      </c>
      <c r="V13" s="62"/>
      <c r="W13" s="62"/>
      <c r="X13" s="62"/>
      <c r="Y13" s="62"/>
      <c r="Z13" s="62">
        <f t="shared" si="7"/>
        <v>230</v>
      </c>
      <c r="AA13" s="62">
        <f t="shared" si="8"/>
        <v>74770</v>
      </c>
      <c r="AB13" s="69" t="s">
        <v>64</v>
      </c>
      <c r="AC13" s="64" t="s">
        <v>65</v>
      </c>
    </row>
    <row r="14" spans="1:29" ht="30" customHeight="1">
      <c r="A14" s="60">
        <v>9</v>
      </c>
      <c r="B14" s="60">
        <v>9</v>
      </c>
      <c r="C14" s="67" t="s">
        <v>66</v>
      </c>
      <c r="D14" s="62" t="s">
        <v>67</v>
      </c>
      <c r="E14" s="60">
        <v>12000</v>
      </c>
      <c r="F14" s="60">
        <v>12000</v>
      </c>
      <c r="G14" s="60"/>
      <c r="H14" s="60"/>
      <c r="I14" s="60"/>
      <c r="J14" s="68">
        <v>28</v>
      </c>
      <c r="K14" s="60"/>
      <c r="L14" s="60"/>
      <c r="M14" s="60"/>
      <c r="N14" s="60"/>
      <c r="O14" s="60"/>
      <c r="P14" s="60"/>
      <c r="Q14" s="62">
        <f t="shared" si="5"/>
        <v>11200</v>
      </c>
      <c r="R14" s="62"/>
      <c r="S14" s="62"/>
      <c r="T14" s="62">
        <f t="shared" si="6"/>
        <v>0</v>
      </c>
      <c r="U14" s="62">
        <f t="shared" si="9"/>
        <v>30</v>
      </c>
      <c r="V14" s="62"/>
      <c r="W14" s="62"/>
      <c r="X14" s="62"/>
      <c r="Y14" s="62"/>
      <c r="Z14" s="62">
        <f t="shared" si="7"/>
        <v>30</v>
      </c>
      <c r="AA14" s="62">
        <f t="shared" si="8"/>
        <v>11170</v>
      </c>
      <c r="AB14" s="69" t="s">
        <v>68</v>
      </c>
      <c r="AC14" s="64" t="s">
        <v>69</v>
      </c>
    </row>
    <row r="15" spans="1:29" ht="30" customHeight="1">
      <c r="A15" s="60">
        <v>10</v>
      </c>
      <c r="B15" s="60">
        <v>10</v>
      </c>
      <c r="C15" s="67" t="s">
        <v>71</v>
      </c>
      <c r="D15" s="62" t="s">
        <v>72</v>
      </c>
      <c r="E15" s="60">
        <v>12000</v>
      </c>
      <c r="F15" s="60">
        <v>12000</v>
      </c>
      <c r="G15" s="60"/>
      <c r="H15" s="60"/>
      <c r="I15" s="60"/>
      <c r="J15" s="68">
        <v>30</v>
      </c>
      <c r="K15" s="60"/>
      <c r="L15" s="60"/>
      <c r="M15" s="60"/>
      <c r="N15" s="60"/>
      <c r="O15" s="60"/>
      <c r="P15" s="60"/>
      <c r="Q15" s="62">
        <f t="shared" si="5"/>
        <v>12000</v>
      </c>
      <c r="R15" s="62"/>
      <c r="S15" s="62"/>
      <c r="T15" s="62">
        <f t="shared" si="6"/>
        <v>0</v>
      </c>
      <c r="U15" s="62">
        <f t="shared" si="9"/>
        <v>30</v>
      </c>
      <c r="V15" s="62"/>
      <c r="W15" s="62"/>
      <c r="X15" s="62"/>
      <c r="Y15" s="62"/>
      <c r="Z15" s="62">
        <f t="shared" si="7"/>
        <v>30</v>
      </c>
      <c r="AA15" s="62">
        <f t="shared" si="8"/>
        <v>11970</v>
      </c>
      <c r="AB15" s="69" t="s">
        <v>73</v>
      </c>
      <c r="AC15" s="64" t="s">
        <v>35</v>
      </c>
    </row>
    <row r="16" spans="1:29" ht="30" customHeight="1">
      <c r="A16" s="60">
        <v>11</v>
      </c>
      <c r="B16" s="60">
        <v>11</v>
      </c>
      <c r="C16" s="67" t="s">
        <v>74</v>
      </c>
      <c r="D16" s="62" t="s">
        <v>75</v>
      </c>
      <c r="E16" s="60">
        <v>18000</v>
      </c>
      <c r="F16" s="60">
        <v>18000</v>
      </c>
      <c r="G16" s="60"/>
      <c r="H16" s="60"/>
      <c r="I16" s="60"/>
      <c r="J16" s="68">
        <v>28.5</v>
      </c>
      <c r="K16" s="60"/>
      <c r="L16" s="60"/>
      <c r="M16" s="60"/>
      <c r="N16" s="60"/>
      <c r="O16" s="60"/>
      <c r="P16" s="60"/>
      <c r="Q16" s="62">
        <f t="shared" si="5"/>
        <v>17100</v>
      </c>
      <c r="R16" s="62"/>
      <c r="S16" s="62"/>
      <c r="T16" s="62">
        <f t="shared" si="6"/>
        <v>150</v>
      </c>
      <c r="U16" s="62">
        <f t="shared" si="9"/>
        <v>30</v>
      </c>
      <c r="V16" s="62"/>
      <c r="W16" s="62"/>
      <c r="X16" s="62"/>
      <c r="Y16" s="62">
        <v>958</v>
      </c>
      <c r="Z16" s="62">
        <f t="shared" si="7"/>
        <v>1138</v>
      </c>
      <c r="AA16" s="62">
        <f t="shared" si="8"/>
        <v>15962</v>
      </c>
      <c r="AB16" s="69" t="s">
        <v>76</v>
      </c>
      <c r="AC16" s="64" t="s">
        <v>77</v>
      </c>
    </row>
    <row r="17" spans="1:30" ht="30" customHeight="1">
      <c r="A17" s="60">
        <v>12</v>
      </c>
      <c r="B17" s="60">
        <v>12</v>
      </c>
      <c r="C17" s="67" t="s">
        <v>606</v>
      </c>
      <c r="D17" s="62" t="s">
        <v>70</v>
      </c>
      <c r="E17" s="60">
        <v>13000</v>
      </c>
      <c r="F17" s="60">
        <v>13000</v>
      </c>
      <c r="G17" s="60"/>
      <c r="H17" s="60"/>
      <c r="I17" s="60"/>
      <c r="J17" s="68">
        <v>30</v>
      </c>
      <c r="K17" s="60"/>
      <c r="L17" s="60"/>
      <c r="M17" s="60"/>
      <c r="N17" s="60"/>
      <c r="O17" s="60"/>
      <c r="P17" s="60"/>
      <c r="Q17" s="62">
        <f t="shared" ref="Q17" si="10">ROUNDUP(F17/J$5*J17+N17,0)</f>
        <v>13000</v>
      </c>
      <c r="R17" s="62"/>
      <c r="S17" s="62"/>
      <c r="T17" s="62">
        <f t="shared" ref="T17" si="11">IF(Q17&gt;20001,200,IF(Q17&gt;15001,150,IF(Q17&lt;15000,0,)))</f>
        <v>0</v>
      </c>
      <c r="U17" s="62">
        <f t="shared" ref="U17" si="12">IF(Q17,IF(1,30),IF(1,0))</f>
        <v>30</v>
      </c>
      <c r="V17" s="62"/>
      <c r="W17" s="62"/>
      <c r="X17" s="62"/>
      <c r="Y17" s="62"/>
      <c r="Z17" s="62">
        <f t="shared" ref="Z17" si="13">SUM(R17:Y17)</f>
        <v>30</v>
      </c>
      <c r="AA17" s="62">
        <f t="shared" ref="AA17" si="14">Q17-Z17</f>
        <v>12970</v>
      </c>
      <c r="AB17" s="69" t="s">
        <v>607</v>
      </c>
      <c r="AC17" s="64" t="s">
        <v>95</v>
      </c>
    </row>
    <row r="18" spans="1:30" s="83" customFormat="1" ht="30" customHeight="1">
      <c r="A18" s="78">
        <v>13</v>
      </c>
      <c r="B18" s="78">
        <v>13</v>
      </c>
      <c r="C18" s="79" t="s">
        <v>58</v>
      </c>
      <c r="D18" s="80" t="s">
        <v>59</v>
      </c>
      <c r="E18" s="81">
        <v>100000</v>
      </c>
      <c r="F18" s="81">
        <v>100000</v>
      </c>
      <c r="G18" s="81"/>
      <c r="H18" s="81"/>
      <c r="I18" s="81"/>
      <c r="J18" s="82">
        <v>30</v>
      </c>
      <c r="K18" s="81"/>
      <c r="L18" s="81"/>
      <c r="M18" s="81"/>
      <c r="N18" s="81"/>
      <c r="O18" s="81"/>
      <c r="P18" s="81"/>
      <c r="Q18" s="81">
        <f>ROUNDUP(F18/J$5*J18+N18,0)</f>
        <v>100000</v>
      </c>
      <c r="R18" s="81"/>
      <c r="S18" s="81"/>
      <c r="T18" s="81">
        <f>IF(Q18&gt;20001,200,IF(Q18&gt;15001,150,IF(Q18&lt;15000,0,)))</f>
        <v>200</v>
      </c>
      <c r="U18" s="81">
        <v>75</v>
      </c>
      <c r="V18" s="81">
        <v>0</v>
      </c>
      <c r="W18" s="81"/>
      <c r="X18" s="81"/>
      <c r="Y18" s="81"/>
      <c r="Z18" s="81">
        <f>SUM(R18:Y18)</f>
        <v>275</v>
      </c>
      <c r="AA18" s="81">
        <f>Q18-Z18</f>
        <v>99725</v>
      </c>
      <c r="AB18" s="80" t="s">
        <v>60</v>
      </c>
      <c r="AC18" s="80" t="s">
        <v>61</v>
      </c>
    </row>
    <row r="19" spans="1:30" ht="12.75">
      <c r="A19" s="84"/>
      <c r="B19" s="60"/>
      <c r="C19" s="66" t="s">
        <v>78</v>
      </c>
      <c r="D19" s="62"/>
      <c r="E19" s="60"/>
      <c r="F19" s="60"/>
      <c r="G19" s="60"/>
      <c r="H19" s="60"/>
      <c r="I19" s="60"/>
      <c r="J19" s="63"/>
      <c r="K19" s="60"/>
      <c r="L19" s="60"/>
      <c r="M19" s="60"/>
      <c r="N19" s="60"/>
      <c r="O19" s="60"/>
      <c r="P19" s="60"/>
      <c r="Q19" s="62"/>
      <c r="R19" s="60"/>
      <c r="S19" s="60"/>
      <c r="T19" s="62"/>
      <c r="U19" s="62"/>
      <c r="V19" s="60"/>
      <c r="W19" s="62"/>
      <c r="X19" s="60"/>
      <c r="Y19" s="60"/>
      <c r="Z19" s="62"/>
      <c r="AA19" s="62"/>
      <c r="AB19" s="63"/>
      <c r="AC19" s="64"/>
    </row>
    <row r="20" spans="1:30" ht="28.5" customHeight="1">
      <c r="A20" s="60">
        <v>14</v>
      </c>
      <c r="B20" s="60">
        <v>1</v>
      </c>
      <c r="C20" s="67" t="s">
        <v>79</v>
      </c>
      <c r="D20" s="62" t="s">
        <v>80</v>
      </c>
      <c r="E20" s="60">
        <v>26500</v>
      </c>
      <c r="F20" s="60">
        <v>26500</v>
      </c>
      <c r="G20" s="60"/>
      <c r="H20" s="60"/>
      <c r="I20" s="60"/>
      <c r="J20" s="68">
        <v>30</v>
      </c>
      <c r="K20" s="60"/>
      <c r="L20" s="60"/>
      <c r="M20" s="60"/>
      <c r="N20" s="60"/>
      <c r="O20" s="60"/>
      <c r="P20" s="60"/>
      <c r="Q20" s="62">
        <f t="shared" ref="Q20:Q29" si="15">ROUNDUP(F20/J$5*J20+N20,0)</f>
        <v>26500</v>
      </c>
      <c r="R20" s="62"/>
      <c r="S20" s="62"/>
      <c r="T20" s="62">
        <f t="shared" ref="T20:T25" si="16">IF(Q20&gt;20001,200,IF(Q20&gt;15001,150,IF(Q20&lt;15000,0,)))</f>
        <v>200</v>
      </c>
      <c r="U20" s="62">
        <f t="shared" ref="U20:U29" si="17">IF(Q20,IF(1,30),IF(1,0))</f>
        <v>30</v>
      </c>
      <c r="V20" s="62"/>
      <c r="W20" s="62"/>
      <c r="X20" s="62"/>
      <c r="Y20" s="62">
        <v>2625</v>
      </c>
      <c r="Z20" s="62">
        <f t="shared" ref="Z20:Z29" si="18">SUM(R20:Y20)</f>
        <v>2855</v>
      </c>
      <c r="AA20" s="62">
        <f t="shared" ref="AA20:AA29" si="19">Q20-Z20</f>
        <v>23645</v>
      </c>
      <c r="AB20" s="69" t="s">
        <v>81</v>
      </c>
      <c r="AC20" s="64" t="s">
        <v>82</v>
      </c>
    </row>
    <row r="21" spans="1:30" ht="28.5" customHeight="1">
      <c r="A21" s="60">
        <v>15</v>
      </c>
      <c r="B21" s="60">
        <v>2</v>
      </c>
      <c r="C21" s="67" t="s">
        <v>83</v>
      </c>
      <c r="D21" s="62" t="s">
        <v>84</v>
      </c>
      <c r="E21" s="60">
        <v>20000</v>
      </c>
      <c r="F21" s="60">
        <v>20000</v>
      </c>
      <c r="G21" s="60"/>
      <c r="H21" s="60"/>
      <c r="I21" s="60"/>
      <c r="J21" s="68">
        <v>30</v>
      </c>
      <c r="K21" s="60"/>
      <c r="L21" s="60"/>
      <c r="M21" s="60"/>
      <c r="N21" s="60"/>
      <c r="O21" s="60"/>
      <c r="P21" s="60"/>
      <c r="Q21" s="62">
        <f t="shared" si="15"/>
        <v>20000</v>
      </c>
      <c r="R21" s="62"/>
      <c r="S21" s="62"/>
      <c r="T21" s="62">
        <f t="shared" si="16"/>
        <v>150</v>
      </c>
      <c r="U21" s="62">
        <f t="shared" si="17"/>
        <v>30</v>
      </c>
      <c r="V21" s="62"/>
      <c r="W21" s="62"/>
      <c r="X21" s="62"/>
      <c r="Y21" s="62"/>
      <c r="Z21" s="62">
        <f t="shared" si="18"/>
        <v>180</v>
      </c>
      <c r="AA21" s="62">
        <f t="shared" si="19"/>
        <v>19820</v>
      </c>
      <c r="AB21" s="69" t="s">
        <v>85</v>
      </c>
      <c r="AC21" s="64" t="s">
        <v>35</v>
      </c>
    </row>
    <row r="22" spans="1:30" ht="28.5" customHeight="1">
      <c r="A22" s="163">
        <v>16</v>
      </c>
      <c r="B22" s="163">
        <v>3</v>
      </c>
      <c r="C22" s="164" t="s">
        <v>86</v>
      </c>
      <c r="D22" s="176" t="s">
        <v>84</v>
      </c>
      <c r="E22" s="163">
        <v>29000</v>
      </c>
      <c r="F22" s="163">
        <v>29000</v>
      </c>
      <c r="G22" s="163"/>
      <c r="H22" s="163"/>
      <c r="I22" s="163"/>
      <c r="J22" s="166">
        <v>30</v>
      </c>
      <c r="K22" s="163"/>
      <c r="L22" s="163"/>
      <c r="M22" s="163"/>
      <c r="N22" s="163"/>
      <c r="O22" s="163"/>
      <c r="P22" s="163"/>
      <c r="Q22" s="165">
        <f t="shared" si="15"/>
        <v>29000</v>
      </c>
      <c r="R22" s="165"/>
      <c r="S22" s="165"/>
      <c r="T22" s="165">
        <f t="shared" si="16"/>
        <v>200</v>
      </c>
      <c r="U22" s="165">
        <f t="shared" si="17"/>
        <v>30</v>
      </c>
      <c r="V22" s="165"/>
      <c r="W22" s="165"/>
      <c r="X22" s="165"/>
      <c r="Y22" s="165"/>
      <c r="Z22" s="165">
        <f t="shared" si="18"/>
        <v>230</v>
      </c>
      <c r="AA22" s="165">
        <f t="shared" si="19"/>
        <v>28770</v>
      </c>
      <c r="AB22" s="167" t="s">
        <v>87</v>
      </c>
      <c r="AC22" s="168" t="s">
        <v>88</v>
      </c>
    </row>
    <row r="23" spans="1:30" ht="28.5" customHeight="1">
      <c r="A23" s="60">
        <v>17</v>
      </c>
      <c r="B23" s="60">
        <v>4</v>
      </c>
      <c r="C23" s="67" t="s">
        <v>89</v>
      </c>
      <c r="D23" s="62" t="s">
        <v>90</v>
      </c>
      <c r="E23" s="60">
        <v>13500</v>
      </c>
      <c r="F23" s="60">
        <v>13500</v>
      </c>
      <c r="G23" s="60"/>
      <c r="H23" s="60"/>
      <c r="I23" s="60"/>
      <c r="J23" s="68">
        <v>30</v>
      </c>
      <c r="K23" s="60"/>
      <c r="L23" s="60"/>
      <c r="M23" s="60"/>
      <c r="N23" s="60"/>
      <c r="O23" s="60"/>
      <c r="P23" s="60"/>
      <c r="Q23" s="62">
        <f t="shared" si="15"/>
        <v>13500</v>
      </c>
      <c r="R23" s="62"/>
      <c r="S23" s="62"/>
      <c r="T23" s="62">
        <f t="shared" si="16"/>
        <v>0</v>
      </c>
      <c r="U23" s="62">
        <f t="shared" si="17"/>
        <v>30</v>
      </c>
      <c r="V23" s="62"/>
      <c r="W23" s="62"/>
      <c r="X23" s="62"/>
      <c r="Y23" s="62"/>
      <c r="Z23" s="62">
        <f t="shared" si="18"/>
        <v>30</v>
      </c>
      <c r="AA23" s="62">
        <f t="shared" si="19"/>
        <v>13470</v>
      </c>
      <c r="AB23" s="69" t="s">
        <v>91</v>
      </c>
      <c r="AC23" s="64" t="s">
        <v>92</v>
      </c>
    </row>
    <row r="24" spans="1:30" ht="28.5" customHeight="1">
      <c r="A24" s="60">
        <v>18</v>
      </c>
      <c r="B24" s="60">
        <v>5</v>
      </c>
      <c r="C24" s="67" t="s">
        <v>93</v>
      </c>
      <c r="D24" s="85" t="s">
        <v>84</v>
      </c>
      <c r="E24" s="60">
        <v>19500</v>
      </c>
      <c r="F24" s="60">
        <v>19500</v>
      </c>
      <c r="G24" s="60"/>
      <c r="H24" s="60"/>
      <c r="I24" s="60"/>
      <c r="J24" s="68">
        <v>30</v>
      </c>
      <c r="K24" s="60"/>
      <c r="L24" s="60"/>
      <c r="M24" s="60"/>
      <c r="N24" s="60"/>
      <c r="O24" s="60"/>
      <c r="P24" s="60"/>
      <c r="Q24" s="62">
        <f t="shared" si="15"/>
        <v>19500</v>
      </c>
      <c r="R24" s="62"/>
      <c r="S24" s="62"/>
      <c r="T24" s="62">
        <f t="shared" si="16"/>
        <v>150</v>
      </c>
      <c r="U24" s="62">
        <f t="shared" si="17"/>
        <v>30</v>
      </c>
      <c r="V24" s="62"/>
      <c r="W24" s="62"/>
      <c r="X24" s="62"/>
      <c r="Y24" s="62"/>
      <c r="Z24" s="62">
        <f t="shared" si="18"/>
        <v>180</v>
      </c>
      <c r="AA24" s="62">
        <f t="shared" si="19"/>
        <v>19320</v>
      </c>
      <c r="AB24" s="69" t="s">
        <v>94</v>
      </c>
      <c r="AC24" s="64" t="s">
        <v>95</v>
      </c>
    </row>
    <row r="25" spans="1:30" s="89" customFormat="1" ht="28.5" customHeight="1">
      <c r="A25" s="60">
        <v>19</v>
      </c>
      <c r="B25" s="60">
        <v>6</v>
      </c>
      <c r="C25" s="86" t="s">
        <v>96</v>
      </c>
      <c r="D25" s="87" t="s">
        <v>97</v>
      </c>
      <c r="E25" s="87">
        <v>12000</v>
      </c>
      <c r="F25" s="87">
        <v>12000</v>
      </c>
      <c r="G25" s="87"/>
      <c r="H25" s="87"/>
      <c r="I25" s="87"/>
      <c r="J25" s="88">
        <v>30</v>
      </c>
      <c r="K25" s="87"/>
      <c r="L25" s="87"/>
      <c r="M25" s="87"/>
      <c r="N25" s="87"/>
      <c r="O25" s="87"/>
      <c r="P25" s="87"/>
      <c r="Q25" s="87">
        <f t="shared" si="15"/>
        <v>12000</v>
      </c>
      <c r="R25" s="87"/>
      <c r="S25" s="87"/>
      <c r="T25" s="87">
        <f t="shared" si="16"/>
        <v>0</v>
      </c>
      <c r="U25" s="87">
        <f t="shared" si="17"/>
        <v>30</v>
      </c>
      <c r="V25" s="87"/>
      <c r="W25" s="87"/>
      <c r="X25" s="87"/>
      <c r="Y25" s="87"/>
      <c r="Z25" s="87">
        <f t="shared" si="18"/>
        <v>30</v>
      </c>
      <c r="AA25" s="87">
        <f t="shared" si="19"/>
        <v>11970</v>
      </c>
      <c r="AB25" s="87" t="s">
        <v>98</v>
      </c>
      <c r="AC25" s="87" t="s">
        <v>99</v>
      </c>
    </row>
    <row r="26" spans="1:30" ht="28.5" customHeight="1">
      <c r="A26" s="163">
        <v>20</v>
      </c>
      <c r="B26" s="163">
        <v>7</v>
      </c>
      <c r="C26" s="169" t="s">
        <v>100</v>
      </c>
      <c r="D26" s="165" t="s">
        <v>101</v>
      </c>
      <c r="E26" s="163">
        <v>13500</v>
      </c>
      <c r="F26" s="163">
        <v>13500</v>
      </c>
      <c r="G26" s="163"/>
      <c r="H26" s="163"/>
      <c r="I26" s="163"/>
      <c r="J26" s="166">
        <v>30</v>
      </c>
      <c r="K26" s="163"/>
      <c r="L26" s="163"/>
      <c r="M26" s="163"/>
      <c r="N26" s="163"/>
      <c r="O26" s="163"/>
      <c r="P26" s="163"/>
      <c r="Q26" s="165">
        <f t="shared" si="15"/>
        <v>13500</v>
      </c>
      <c r="R26" s="165"/>
      <c r="S26" s="165"/>
      <c r="T26" s="165"/>
      <c r="U26" s="165">
        <f t="shared" si="17"/>
        <v>30</v>
      </c>
      <c r="V26" s="165"/>
      <c r="W26" s="165"/>
      <c r="X26" s="165"/>
      <c r="Y26" s="165"/>
      <c r="Z26" s="165">
        <f t="shared" si="18"/>
        <v>30</v>
      </c>
      <c r="AA26" s="165">
        <f t="shared" si="19"/>
        <v>13470</v>
      </c>
      <c r="AB26" s="170">
        <v>10859751092</v>
      </c>
      <c r="AC26" s="170" t="s">
        <v>102</v>
      </c>
    </row>
    <row r="27" spans="1:30" s="70" customFormat="1" ht="28.5" customHeight="1">
      <c r="A27" s="163">
        <v>21</v>
      </c>
      <c r="B27" s="163">
        <v>8</v>
      </c>
      <c r="C27" s="164" t="s">
        <v>103</v>
      </c>
      <c r="D27" s="165" t="s">
        <v>47</v>
      </c>
      <c r="E27" s="163">
        <v>13500</v>
      </c>
      <c r="F27" s="163">
        <v>13500</v>
      </c>
      <c r="G27" s="163"/>
      <c r="H27" s="163"/>
      <c r="I27" s="163"/>
      <c r="J27" s="166">
        <v>29.5</v>
      </c>
      <c r="K27" s="163"/>
      <c r="L27" s="163"/>
      <c r="M27" s="163"/>
      <c r="N27" s="163"/>
      <c r="O27" s="163"/>
      <c r="P27" s="163"/>
      <c r="Q27" s="165">
        <f t="shared" si="15"/>
        <v>13275</v>
      </c>
      <c r="R27" s="165"/>
      <c r="S27" s="165"/>
      <c r="T27" s="165">
        <f>IF(Q27&gt;20001,200,IF(Q27&gt;15001,150,IF(Q27&lt;15000,0,)))</f>
        <v>0</v>
      </c>
      <c r="U27" s="165">
        <f t="shared" si="17"/>
        <v>30</v>
      </c>
      <c r="V27" s="165"/>
      <c r="W27" s="165"/>
      <c r="X27" s="165"/>
      <c r="Y27" s="165"/>
      <c r="Z27" s="165">
        <f t="shared" si="18"/>
        <v>30</v>
      </c>
      <c r="AA27" s="165">
        <f t="shared" si="19"/>
        <v>13245</v>
      </c>
      <c r="AB27" s="167" t="s">
        <v>104</v>
      </c>
      <c r="AC27" s="168" t="s">
        <v>105</v>
      </c>
    </row>
    <row r="28" spans="1:30" s="89" customFormat="1" ht="28.5" customHeight="1">
      <c r="A28" s="163">
        <v>22</v>
      </c>
      <c r="B28" s="163">
        <v>9</v>
      </c>
      <c r="C28" s="171" t="s">
        <v>106</v>
      </c>
      <c r="D28" s="172" t="s">
        <v>107</v>
      </c>
      <c r="E28" s="173">
        <v>16000</v>
      </c>
      <c r="F28" s="173">
        <v>16000</v>
      </c>
      <c r="G28" s="173"/>
      <c r="H28" s="173"/>
      <c r="I28" s="173"/>
      <c r="J28" s="174">
        <v>30</v>
      </c>
      <c r="K28" s="173"/>
      <c r="L28" s="173"/>
      <c r="M28" s="173"/>
      <c r="N28" s="173"/>
      <c r="O28" s="173"/>
      <c r="P28" s="173"/>
      <c r="Q28" s="172">
        <f t="shared" si="15"/>
        <v>16000</v>
      </c>
      <c r="R28" s="172"/>
      <c r="S28" s="172"/>
      <c r="T28" s="172">
        <f>IF(Q28&gt;20001,200,IF(Q28&gt;15001,150,IF(Q28&lt;15000,0,)))</f>
        <v>150</v>
      </c>
      <c r="U28" s="172">
        <f t="shared" si="17"/>
        <v>30</v>
      </c>
      <c r="V28" s="172"/>
      <c r="W28" s="172"/>
      <c r="X28" s="172"/>
      <c r="Y28" s="172"/>
      <c r="Z28" s="172">
        <f t="shared" si="18"/>
        <v>180</v>
      </c>
      <c r="AA28" s="172">
        <f t="shared" si="19"/>
        <v>15820</v>
      </c>
      <c r="AB28" s="175">
        <v>34059392510</v>
      </c>
      <c r="AC28" s="175" t="s">
        <v>102</v>
      </c>
    </row>
    <row r="29" spans="1:30" s="70" customFormat="1" ht="28.5" customHeight="1">
      <c r="A29" s="60">
        <v>23</v>
      </c>
      <c r="B29" s="60">
        <v>10</v>
      </c>
      <c r="C29" s="67" t="s">
        <v>108</v>
      </c>
      <c r="D29" s="62" t="s">
        <v>109</v>
      </c>
      <c r="E29" s="60">
        <v>19000</v>
      </c>
      <c r="F29" s="60">
        <v>19000</v>
      </c>
      <c r="G29" s="60"/>
      <c r="H29" s="60"/>
      <c r="I29" s="60"/>
      <c r="J29" s="68">
        <v>26</v>
      </c>
      <c r="K29" s="60"/>
      <c r="L29" s="60"/>
      <c r="M29" s="60"/>
      <c r="N29" s="60"/>
      <c r="O29" s="60"/>
      <c r="P29" s="60"/>
      <c r="Q29" s="62">
        <f t="shared" si="15"/>
        <v>16467</v>
      </c>
      <c r="R29" s="62"/>
      <c r="S29" s="62"/>
      <c r="T29" s="62">
        <f>IF(Q29&gt;20001,200,IF(Q29&gt;15001,150,IF(Q29&lt;15000,0,)))</f>
        <v>150</v>
      </c>
      <c r="U29" s="62">
        <f t="shared" si="17"/>
        <v>30</v>
      </c>
      <c r="V29" s="62"/>
      <c r="W29" s="62"/>
      <c r="X29" s="62"/>
      <c r="Y29" s="62"/>
      <c r="Z29" s="62">
        <f t="shared" si="18"/>
        <v>180</v>
      </c>
      <c r="AA29" s="62">
        <f t="shared" si="19"/>
        <v>16287</v>
      </c>
      <c r="AB29" s="91" t="s">
        <v>110</v>
      </c>
      <c r="AC29" s="90" t="s">
        <v>111</v>
      </c>
    </row>
    <row r="30" spans="1:30" ht="12.75">
      <c r="A30" s="92"/>
      <c r="B30" s="93"/>
      <c r="C30" s="94" t="s">
        <v>242</v>
      </c>
      <c r="D30" s="95"/>
      <c r="E30" s="93"/>
      <c r="F30" s="93"/>
      <c r="G30" s="93"/>
      <c r="H30" s="93"/>
      <c r="I30" s="93"/>
      <c r="J30" s="96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7"/>
      <c r="AC30" s="98"/>
    </row>
    <row r="31" spans="1:30" ht="28.5" customHeight="1">
      <c r="A31" s="99">
        <v>24</v>
      </c>
      <c r="B31" s="100">
        <v>1</v>
      </c>
      <c r="C31" s="101" t="s">
        <v>243</v>
      </c>
      <c r="D31" s="102" t="s">
        <v>244</v>
      </c>
      <c r="E31" s="100">
        <v>100000</v>
      </c>
      <c r="F31" s="100">
        <v>100000</v>
      </c>
      <c r="G31" s="100"/>
      <c r="H31" s="100"/>
      <c r="I31" s="100"/>
      <c r="J31" s="103">
        <v>30</v>
      </c>
      <c r="K31" s="100"/>
      <c r="L31" s="100"/>
      <c r="M31" s="100"/>
      <c r="N31" s="100">
        <v>-16666</v>
      </c>
      <c r="O31" s="100"/>
      <c r="P31" s="100"/>
      <c r="Q31" s="102">
        <f t="shared" ref="Q31:Q35" si="20">ROUNDUP(F31/J$5*J31+N31,0)</f>
        <v>83334</v>
      </c>
      <c r="R31" s="102"/>
      <c r="S31" s="102"/>
      <c r="T31" s="102">
        <f>IF(Q31&gt;20001,200,IF(Q31&gt;15001,150,IF(Q31&lt;15000,0,)))</f>
        <v>200</v>
      </c>
      <c r="U31" s="102">
        <f>IF(Q31,IF(1,30),IF(1,0))</f>
        <v>30</v>
      </c>
      <c r="V31" s="102"/>
      <c r="W31" s="102"/>
      <c r="X31" s="102"/>
      <c r="Y31" s="102"/>
      <c r="Z31" s="102">
        <f t="shared" ref="Z31:Z37" si="21">SUM(R31:Y31)</f>
        <v>230</v>
      </c>
      <c r="AA31" s="102">
        <f t="shared" ref="AA31:AA37" si="22">Q31-Z31</f>
        <v>83104</v>
      </c>
      <c r="AB31" s="104" t="s">
        <v>245</v>
      </c>
      <c r="AC31" s="105" t="s">
        <v>246</v>
      </c>
      <c r="AD31" s="55" t="s">
        <v>611</v>
      </c>
    </row>
    <row r="32" spans="1:30" ht="30" customHeight="1">
      <c r="A32" s="60">
        <v>25</v>
      </c>
      <c r="B32" s="60">
        <v>2</v>
      </c>
      <c r="C32" s="67" t="s">
        <v>54</v>
      </c>
      <c r="D32" s="62" t="s">
        <v>55</v>
      </c>
      <c r="E32" s="60">
        <v>37000</v>
      </c>
      <c r="F32" s="60">
        <v>37000</v>
      </c>
      <c r="G32" s="60"/>
      <c r="H32" s="60"/>
      <c r="I32" s="60"/>
      <c r="J32" s="68">
        <v>28</v>
      </c>
      <c r="K32" s="60"/>
      <c r="L32" s="60"/>
      <c r="M32" s="60"/>
      <c r="N32" s="60"/>
      <c r="O32" s="60"/>
      <c r="P32" s="60"/>
      <c r="Q32" s="62">
        <f t="shared" si="20"/>
        <v>34534</v>
      </c>
      <c r="R32" s="62"/>
      <c r="S32" s="62"/>
      <c r="T32" s="62">
        <f>IF(Q32&gt;20001,200,IF(Q32&gt;15001,150,IF(Q32&lt;15000,0,)))</f>
        <v>200</v>
      </c>
      <c r="U32" s="62">
        <f>IF(Q32,IF(1,30),IF(1,0))</f>
        <v>30</v>
      </c>
      <c r="V32" s="62"/>
      <c r="W32" s="62"/>
      <c r="X32" s="62"/>
      <c r="Y32" s="62"/>
      <c r="Z32" s="62">
        <f t="shared" si="21"/>
        <v>230</v>
      </c>
      <c r="AA32" s="62">
        <f t="shared" si="22"/>
        <v>34304</v>
      </c>
      <c r="AB32" s="69" t="s">
        <v>56</v>
      </c>
      <c r="AC32" s="64" t="s">
        <v>57</v>
      </c>
    </row>
    <row r="33" spans="1:30" s="89" customFormat="1" ht="28.5" customHeight="1">
      <c r="A33" s="106">
        <v>26</v>
      </c>
      <c r="B33" s="107">
        <v>3</v>
      </c>
      <c r="C33" s="108" t="s">
        <v>587</v>
      </c>
      <c r="D33" s="109" t="s">
        <v>55</v>
      </c>
      <c r="E33" s="110">
        <v>22000</v>
      </c>
      <c r="F33" s="110">
        <v>22000</v>
      </c>
      <c r="G33" s="110"/>
      <c r="H33" s="110"/>
      <c r="I33" s="110"/>
      <c r="J33" s="88">
        <v>30</v>
      </c>
      <c r="K33" s="110"/>
      <c r="L33" s="110"/>
      <c r="M33" s="110"/>
      <c r="N33" s="110"/>
      <c r="O33" s="110"/>
      <c r="P33" s="110"/>
      <c r="Q33" s="109">
        <f t="shared" si="20"/>
        <v>22000</v>
      </c>
      <c r="R33" s="109"/>
      <c r="S33" s="109"/>
      <c r="T33" s="111">
        <f>IF(Q33&gt;20001,200,IF(Q33&gt;15001,150,IF(Q33&lt;15000,0,)))</f>
        <v>200</v>
      </c>
      <c r="U33" s="112">
        <f>IF(Q33,IF(1,30),IF(1,0))</f>
        <v>30</v>
      </c>
      <c r="V33" s="109"/>
      <c r="W33" s="109"/>
      <c r="X33" s="109"/>
      <c r="Y33" s="109">
        <v>2100</v>
      </c>
      <c r="Z33" s="62">
        <f t="shared" si="21"/>
        <v>2330</v>
      </c>
      <c r="AA33" s="62">
        <f t="shared" si="22"/>
        <v>19670</v>
      </c>
      <c r="AB33" s="113" t="s">
        <v>586</v>
      </c>
      <c r="AC33" s="114" t="s">
        <v>130</v>
      </c>
    </row>
    <row r="34" spans="1:30" s="89" customFormat="1" ht="28.5" customHeight="1">
      <c r="A34" s="60">
        <v>27</v>
      </c>
      <c r="B34" s="60">
        <v>4</v>
      </c>
      <c r="C34" s="108" t="s">
        <v>584</v>
      </c>
      <c r="D34" s="109" t="s">
        <v>585</v>
      </c>
      <c r="E34" s="110">
        <v>60000</v>
      </c>
      <c r="F34" s="110">
        <v>60000</v>
      </c>
      <c r="G34" s="110"/>
      <c r="H34" s="110"/>
      <c r="I34" s="110"/>
      <c r="J34" s="88">
        <v>30</v>
      </c>
      <c r="K34" s="110"/>
      <c r="L34" s="110"/>
      <c r="M34" s="110"/>
      <c r="N34" s="110"/>
      <c r="O34" s="110"/>
      <c r="P34" s="110"/>
      <c r="Q34" s="109">
        <f t="shared" si="20"/>
        <v>60000</v>
      </c>
      <c r="R34" s="109"/>
      <c r="S34" s="109"/>
      <c r="T34" s="111">
        <f t="shared" ref="T34:T37" si="23">IF(Q34&gt;20001,200,IF(Q34&gt;15001,150,IF(Q34&lt;15000,0,)))</f>
        <v>200</v>
      </c>
      <c r="U34" s="112">
        <f>IF(Q34,IF(1,30),IF(1,0))</f>
        <v>30</v>
      </c>
      <c r="V34" s="109"/>
      <c r="W34" s="109"/>
      <c r="X34" s="109"/>
      <c r="Y34" s="109"/>
      <c r="Z34" s="62">
        <f t="shared" si="21"/>
        <v>230</v>
      </c>
      <c r="AA34" s="62">
        <f t="shared" si="22"/>
        <v>59770</v>
      </c>
      <c r="AB34" s="113" t="s">
        <v>594</v>
      </c>
      <c r="AC34" s="114" t="s">
        <v>41</v>
      </c>
    </row>
    <row r="35" spans="1:30" s="89" customFormat="1" ht="28.5" customHeight="1">
      <c r="A35" s="106">
        <v>28</v>
      </c>
      <c r="B35" s="107">
        <v>5</v>
      </c>
      <c r="C35" s="108" t="s">
        <v>247</v>
      </c>
      <c r="D35" s="109" t="s">
        <v>70</v>
      </c>
      <c r="E35" s="110">
        <v>100000</v>
      </c>
      <c r="F35" s="110">
        <v>100000</v>
      </c>
      <c r="G35" s="110"/>
      <c r="H35" s="110"/>
      <c r="I35" s="110"/>
      <c r="J35" s="88">
        <v>30</v>
      </c>
      <c r="K35" s="110"/>
      <c r="L35" s="110"/>
      <c r="M35" s="110"/>
      <c r="N35" s="110"/>
      <c r="O35" s="110"/>
      <c r="P35" s="110"/>
      <c r="Q35" s="109">
        <f t="shared" si="20"/>
        <v>100000</v>
      </c>
      <c r="R35" s="109"/>
      <c r="S35" s="109"/>
      <c r="T35" s="108">
        <v>0</v>
      </c>
      <c r="U35" s="108">
        <v>0</v>
      </c>
      <c r="V35" s="108"/>
      <c r="W35" s="108"/>
      <c r="X35" s="108"/>
      <c r="Y35" s="108"/>
      <c r="Z35" s="62">
        <f t="shared" si="21"/>
        <v>0</v>
      </c>
      <c r="AA35" s="109">
        <f t="shared" si="22"/>
        <v>100000</v>
      </c>
      <c r="AB35" s="113" t="s">
        <v>248</v>
      </c>
      <c r="AC35" s="114" t="s">
        <v>249</v>
      </c>
    </row>
    <row r="36" spans="1:30" ht="25.5" customHeight="1">
      <c r="A36" s="99">
        <v>29</v>
      </c>
      <c r="B36" s="100">
        <v>6</v>
      </c>
      <c r="C36" s="115" t="s">
        <v>250</v>
      </c>
      <c r="D36" s="116" t="s">
        <v>588</v>
      </c>
      <c r="E36" s="100">
        <v>25000</v>
      </c>
      <c r="F36" s="100">
        <v>25000</v>
      </c>
      <c r="G36" s="100"/>
      <c r="H36" s="100"/>
      <c r="I36" s="100"/>
      <c r="J36" s="103">
        <v>1</v>
      </c>
      <c r="K36" s="100"/>
      <c r="L36" s="100"/>
      <c r="M36" s="100"/>
      <c r="N36" s="100">
        <v>-5000</v>
      </c>
      <c r="O36" s="100"/>
      <c r="P36" s="100"/>
      <c r="Q36" s="102">
        <f t="shared" ref="Q36" si="24">ROUNDUP(F36/J$5*J36+N36,0)</f>
        <v>-4167</v>
      </c>
      <c r="R36" s="102"/>
      <c r="S36" s="102"/>
      <c r="T36" s="102">
        <f>IF(Q36&gt;20001,200,IF(Q36&gt;15001,150,IF(Q36&lt;15000,0,)))</f>
        <v>0</v>
      </c>
      <c r="U36" s="117">
        <v>0</v>
      </c>
      <c r="V36" s="102"/>
      <c r="W36" s="102"/>
      <c r="X36" s="102"/>
      <c r="Y36" s="102"/>
      <c r="Z36" s="102">
        <f t="shared" ref="Z36" si="25">SUM(R36:Y36)</f>
        <v>0</v>
      </c>
      <c r="AA36" s="102">
        <f t="shared" ref="AA36" si="26">Q36-Z36</f>
        <v>-4167</v>
      </c>
      <c r="AB36" s="118">
        <v>50100497078524</v>
      </c>
      <c r="AC36" s="119" t="s">
        <v>251</v>
      </c>
      <c r="AD36" s="55" t="s">
        <v>616</v>
      </c>
    </row>
    <row r="37" spans="1:30" ht="25.5" customHeight="1">
      <c r="A37" s="106">
        <v>30</v>
      </c>
      <c r="B37" s="107">
        <v>7</v>
      </c>
      <c r="C37" s="120" t="s">
        <v>252</v>
      </c>
      <c r="D37" s="63" t="s">
        <v>588</v>
      </c>
      <c r="E37" s="60">
        <v>10000</v>
      </c>
      <c r="F37" s="60">
        <v>10000</v>
      </c>
      <c r="G37" s="63"/>
      <c r="H37" s="63"/>
      <c r="I37" s="63"/>
      <c r="J37" s="68">
        <v>30</v>
      </c>
      <c r="K37" s="63"/>
      <c r="L37" s="63"/>
      <c r="M37" s="63"/>
      <c r="N37" s="63"/>
      <c r="O37" s="63"/>
      <c r="P37" s="60">
        <f>SUM(P52:P104)</f>
        <v>0</v>
      </c>
      <c r="Q37" s="60">
        <v>10000</v>
      </c>
      <c r="R37" s="60"/>
      <c r="S37" s="63"/>
      <c r="T37" s="111">
        <f t="shared" si="23"/>
        <v>0</v>
      </c>
      <c r="U37" s="109">
        <v>0</v>
      </c>
      <c r="V37" s="63"/>
      <c r="W37" s="63"/>
      <c r="X37" s="63"/>
      <c r="Y37" s="63"/>
      <c r="Z37" s="62">
        <f t="shared" si="21"/>
        <v>0</v>
      </c>
      <c r="AA37" s="62">
        <f t="shared" si="22"/>
        <v>10000</v>
      </c>
      <c r="AB37" s="121">
        <v>42306260552</v>
      </c>
      <c r="AC37" s="98" t="s">
        <v>253</v>
      </c>
    </row>
    <row r="38" spans="1:30" ht="25.5" customHeight="1">
      <c r="A38" s="122">
        <v>31</v>
      </c>
      <c r="B38" s="122">
        <v>8</v>
      </c>
      <c r="C38" s="123" t="s">
        <v>608</v>
      </c>
      <c r="D38" s="124" t="s">
        <v>609</v>
      </c>
      <c r="E38" s="125">
        <v>25000</v>
      </c>
      <c r="F38" s="125">
        <v>25000</v>
      </c>
      <c r="G38" s="124"/>
      <c r="H38" s="124"/>
      <c r="I38" s="124"/>
      <c r="J38" s="126">
        <v>20</v>
      </c>
      <c r="K38" s="122"/>
      <c r="L38" s="122"/>
      <c r="M38" s="122"/>
      <c r="N38" s="122"/>
      <c r="O38" s="122"/>
      <c r="P38" s="122"/>
      <c r="Q38" s="127">
        <f t="shared" ref="Q38" si="27">ROUNDUP(F38/J$5*J38+N38,0)</f>
        <v>16667</v>
      </c>
      <c r="R38" s="127"/>
      <c r="S38" s="127"/>
      <c r="T38" s="128">
        <f t="shared" ref="T38" si="28">IF(Q38&gt;20001,200,IF(Q38&gt;15001,150,IF(Q38&lt;15000,0,)))</f>
        <v>150</v>
      </c>
      <c r="U38" s="123">
        <f>IF(Q38,IF(1,30),IF(1,0))</f>
        <v>30</v>
      </c>
      <c r="V38" s="127"/>
      <c r="W38" s="127"/>
      <c r="X38" s="127"/>
      <c r="Y38" s="127"/>
      <c r="Z38" s="129">
        <f t="shared" ref="Z38" si="29">SUM(R38:Y38)</f>
        <v>180</v>
      </c>
      <c r="AA38" s="129">
        <f t="shared" ref="AA38" si="30">Q38-Z38</f>
        <v>16487</v>
      </c>
      <c r="AB38" s="130" t="s">
        <v>610</v>
      </c>
      <c r="AC38" s="131" t="s">
        <v>102</v>
      </c>
    </row>
    <row r="39" spans="1:30" ht="12.75">
      <c r="A39" s="60"/>
      <c r="B39" s="60"/>
      <c r="C39" s="66" t="s">
        <v>112</v>
      </c>
      <c r="D39" s="62"/>
      <c r="E39" s="60"/>
      <c r="F39" s="60"/>
      <c r="G39" s="60"/>
      <c r="H39" s="60"/>
      <c r="I39" s="60"/>
      <c r="J39" s="63"/>
      <c r="K39" s="60"/>
      <c r="L39" s="60"/>
      <c r="M39" s="60"/>
      <c r="N39" s="60"/>
      <c r="O39" s="60"/>
      <c r="P39" s="60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3"/>
      <c r="AC39" s="64"/>
    </row>
    <row r="40" spans="1:30" ht="23.25" customHeight="1">
      <c r="A40" s="110">
        <v>32</v>
      </c>
      <c r="B40" s="60">
        <v>1</v>
      </c>
      <c r="C40" s="67" t="s">
        <v>113</v>
      </c>
      <c r="D40" s="62" t="s">
        <v>47</v>
      </c>
      <c r="E40" s="60">
        <v>16500</v>
      </c>
      <c r="F40" s="60">
        <v>16500</v>
      </c>
      <c r="G40" s="60"/>
      <c r="H40" s="60"/>
      <c r="I40" s="60"/>
      <c r="J40" s="68">
        <v>29.5</v>
      </c>
      <c r="K40" s="60"/>
      <c r="L40" s="60"/>
      <c r="M40" s="60"/>
      <c r="N40" s="60"/>
      <c r="O40" s="60"/>
      <c r="P40" s="60"/>
      <c r="Q40" s="62">
        <f>ROUNDUP(F40/J$5*J40+N40,0)</f>
        <v>16225</v>
      </c>
      <c r="R40" s="62"/>
      <c r="S40" s="62"/>
      <c r="T40" s="62">
        <f>IF(Q40&gt;20001,200,IF(Q40&gt;15001,150,IF(Q40&lt;15000,0,)))</f>
        <v>150</v>
      </c>
      <c r="U40" s="62">
        <f>IF(Q40,IF(1,30),IF(1,0))</f>
        <v>30</v>
      </c>
      <c r="V40" s="62"/>
      <c r="W40" s="62"/>
      <c r="X40" s="62"/>
      <c r="Y40" s="62"/>
      <c r="Z40" s="62">
        <f>SUM(R40:Y40)</f>
        <v>180</v>
      </c>
      <c r="AA40" s="62">
        <f>Q40-Z40</f>
        <v>16045</v>
      </c>
      <c r="AB40" s="69" t="s">
        <v>114</v>
      </c>
      <c r="AC40" s="64" t="s">
        <v>115</v>
      </c>
    </row>
    <row r="41" spans="1:30" s="89" customFormat="1" ht="23.25" customHeight="1">
      <c r="A41" s="60">
        <v>33</v>
      </c>
      <c r="B41" s="110">
        <v>2</v>
      </c>
      <c r="C41" s="108" t="s">
        <v>116</v>
      </c>
      <c r="D41" s="109" t="s">
        <v>117</v>
      </c>
      <c r="E41" s="110">
        <v>16500</v>
      </c>
      <c r="F41" s="110">
        <v>16500</v>
      </c>
      <c r="G41" s="110"/>
      <c r="H41" s="110"/>
      <c r="I41" s="110"/>
      <c r="J41" s="88">
        <v>30</v>
      </c>
      <c r="K41" s="110"/>
      <c r="L41" s="110"/>
      <c r="M41" s="110"/>
      <c r="N41" s="110"/>
      <c r="O41" s="110"/>
      <c r="P41" s="110"/>
      <c r="Q41" s="109">
        <f>ROUNDUP(F41/J$5*J41+N41,0)</f>
        <v>16500</v>
      </c>
      <c r="R41" s="109"/>
      <c r="S41" s="109"/>
      <c r="T41" s="109">
        <f>IF(Q41&gt;20001,200,IF(Q41&gt;15001,150,IF(Q41&lt;15000,0,)))</f>
        <v>150</v>
      </c>
      <c r="U41" s="109">
        <f>IF(Q41,IF(1,30),IF(1,0))</f>
        <v>30</v>
      </c>
      <c r="V41" s="109"/>
      <c r="W41" s="109"/>
      <c r="X41" s="109"/>
      <c r="Y41" s="109"/>
      <c r="Z41" s="109">
        <f>SUM(R41:Y41)</f>
        <v>180</v>
      </c>
      <c r="AA41" s="109">
        <f>Q41-Z41</f>
        <v>16320</v>
      </c>
      <c r="AB41" s="132" t="s">
        <v>118</v>
      </c>
      <c r="AC41" s="114" t="s">
        <v>35</v>
      </c>
    </row>
    <row r="42" spans="1:30" ht="23.25" customHeight="1">
      <c r="A42" s="110">
        <v>34</v>
      </c>
      <c r="B42" s="60">
        <v>3</v>
      </c>
      <c r="C42" s="133" t="s">
        <v>119</v>
      </c>
      <c r="D42" s="62" t="s">
        <v>117</v>
      </c>
      <c r="E42" s="60">
        <v>11500</v>
      </c>
      <c r="F42" s="60">
        <v>11500</v>
      </c>
      <c r="G42" s="60"/>
      <c r="H42" s="60"/>
      <c r="I42" s="60"/>
      <c r="J42" s="68">
        <v>28</v>
      </c>
      <c r="K42" s="60"/>
      <c r="L42" s="60"/>
      <c r="M42" s="60"/>
      <c r="N42" s="60"/>
      <c r="O42" s="60"/>
      <c r="P42" s="60"/>
      <c r="Q42" s="62">
        <f>ROUNDUP(F42/J$5*J42+N42,0)</f>
        <v>10734</v>
      </c>
      <c r="R42" s="62"/>
      <c r="S42" s="62"/>
      <c r="T42" s="62">
        <f>IF(Q42&gt;20001,200,IF(Q42&gt;15001,150,IF(Q42&lt;15000,0,)))</f>
        <v>0</v>
      </c>
      <c r="U42" s="62">
        <f>IF(Q42,IF(1,30),IF(1,0))</f>
        <v>30</v>
      </c>
      <c r="V42" s="62"/>
      <c r="W42" s="62"/>
      <c r="X42" s="62"/>
      <c r="Y42" s="62"/>
      <c r="Z42" s="62">
        <f>SUM(R42:Y42)</f>
        <v>30</v>
      </c>
      <c r="AA42" s="62">
        <f>Q42-Z42</f>
        <v>10704</v>
      </c>
      <c r="AB42" s="69" t="s">
        <v>120</v>
      </c>
      <c r="AC42" s="64" t="s">
        <v>121</v>
      </c>
    </row>
    <row r="43" spans="1:30" ht="12.75">
      <c r="A43" s="60"/>
      <c r="B43" s="60"/>
      <c r="C43" s="66" t="s">
        <v>123</v>
      </c>
      <c r="D43" s="62"/>
      <c r="E43" s="60"/>
      <c r="F43" s="60"/>
      <c r="G43" s="60"/>
      <c r="H43" s="60"/>
      <c r="I43" s="60"/>
      <c r="J43" s="134"/>
      <c r="K43" s="60"/>
      <c r="L43" s="60"/>
      <c r="M43" s="60"/>
      <c r="N43" s="60"/>
      <c r="O43" s="60"/>
      <c r="P43" s="60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3"/>
      <c r="AC43" s="64"/>
    </row>
    <row r="44" spans="1:30" ht="22.5" customHeight="1">
      <c r="A44" s="60">
        <v>35</v>
      </c>
      <c r="B44" s="60">
        <v>1</v>
      </c>
      <c r="C44" s="67" t="s">
        <v>124</v>
      </c>
      <c r="D44" s="62" t="s">
        <v>125</v>
      </c>
      <c r="E44" s="60">
        <v>24000</v>
      </c>
      <c r="F44" s="60">
        <v>24000</v>
      </c>
      <c r="G44" s="60"/>
      <c r="H44" s="60"/>
      <c r="I44" s="60"/>
      <c r="J44" s="68">
        <v>30</v>
      </c>
      <c r="K44" s="60"/>
      <c r="L44" s="60"/>
      <c r="M44" s="60"/>
      <c r="N44" s="60"/>
      <c r="O44" s="60"/>
      <c r="P44" s="60"/>
      <c r="Q44" s="62">
        <f>ROUNDUP(F44/J$5*J44+N44,0)</f>
        <v>24000</v>
      </c>
      <c r="R44" s="62"/>
      <c r="S44" s="62"/>
      <c r="T44" s="62">
        <f>IF(Q44&gt;20001,200,IF(Q44&gt;15001,150,IF(Q44&lt;15000,0,)))</f>
        <v>200</v>
      </c>
      <c r="U44" s="62">
        <f>IF(Q44,IF(1,30),IF(1,0))</f>
        <v>30</v>
      </c>
      <c r="V44" s="62"/>
      <c r="W44" s="62"/>
      <c r="X44" s="62"/>
      <c r="Y44" s="62"/>
      <c r="Z44" s="62">
        <f>SUM(R44:Y44)</f>
        <v>230</v>
      </c>
      <c r="AA44" s="62">
        <f>Q44-Z44</f>
        <v>23770</v>
      </c>
      <c r="AB44" s="69" t="s">
        <v>126</v>
      </c>
      <c r="AC44" s="64" t="s">
        <v>127</v>
      </c>
    </row>
    <row r="45" spans="1:30" ht="22.5" customHeight="1">
      <c r="A45" s="60">
        <v>36</v>
      </c>
      <c r="B45" s="60">
        <v>2</v>
      </c>
      <c r="C45" s="67" t="s">
        <v>128</v>
      </c>
      <c r="D45" s="62" t="s">
        <v>125</v>
      </c>
      <c r="E45" s="62">
        <v>20000</v>
      </c>
      <c r="F45" s="62">
        <v>20000</v>
      </c>
      <c r="G45" s="60"/>
      <c r="H45" s="62"/>
      <c r="I45" s="62"/>
      <c r="J45" s="68">
        <v>29</v>
      </c>
      <c r="K45" s="60"/>
      <c r="L45" s="60"/>
      <c r="M45" s="60"/>
      <c r="N45" s="60"/>
      <c r="O45" s="60"/>
      <c r="P45" s="60"/>
      <c r="Q45" s="62">
        <f>ROUNDUP(F45/J$5*J45+N45,0)</f>
        <v>19334</v>
      </c>
      <c r="R45" s="62"/>
      <c r="S45" s="62"/>
      <c r="T45" s="62">
        <f>IF(Q45&gt;20001,200,IF(Q45&gt;15001,150,IF(Q45&lt;15000,0,)))</f>
        <v>150</v>
      </c>
      <c r="U45" s="62">
        <f>IF(Q45,IF(1,30),IF(1,0))</f>
        <v>30</v>
      </c>
      <c r="V45" s="62">
        <v>0</v>
      </c>
      <c r="W45" s="62"/>
      <c r="X45" s="62"/>
      <c r="Y45" s="62">
        <v>1583</v>
      </c>
      <c r="Z45" s="62">
        <f>SUM(R45:Y45)</f>
        <v>1763</v>
      </c>
      <c r="AA45" s="62">
        <f>Q45-Z45</f>
        <v>17571</v>
      </c>
      <c r="AB45" s="69" t="s">
        <v>129</v>
      </c>
      <c r="AC45" s="64" t="s">
        <v>130</v>
      </c>
    </row>
    <row r="46" spans="1:30" ht="22.5" customHeight="1">
      <c r="A46" s="60">
        <v>37</v>
      </c>
      <c r="B46" s="60">
        <v>3</v>
      </c>
      <c r="C46" s="67" t="s">
        <v>131</v>
      </c>
      <c r="D46" s="62" t="s">
        <v>132</v>
      </c>
      <c r="E46" s="60">
        <v>14500</v>
      </c>
      <c r="F46" s="60">
        <v>14500</v>
      </c>
      <c r="G46" s="60"/>
      <c r="H46" s="60"/>
      <c r="I46" s="60"/>
      <c r="J46" s="68">
        <v>30</v>
      </c>
      <c r="K46" s="60"/>
      <c r="L46" s="60"/>
      <c r="M46" s="60"/>
      <c r="N46" s="60"/>
      <c r="O46" s="60"/>
      <c r="P46" s="60"/>
      <c r="Q46" s="62">
        <f>ROUNDUP(F46/J$5*J46+N46,0)</f>
        <v>14500</v>
      </c>
      <c r="R46" s="62"/>
      <c r="S46" s="62"/>
      <c r="T46" s="62">
        <f>IF(Q46&gt;20001,200,IF(Q46&gt;15001,150,IF(Q46&lt;15000,0,)))</f>
        <v>0</v>
      </c>
      <c r="U46" s="62">
        <f>IF(Q46,IF(1,30),IF(1,0))</f>
        <v>30</v>
      </c>
      <c r="V46" s="62"/>
      <c r="W46" s="62"/>
      <c r="X46" s="62"/>
      <c r="Y46" s="62"/>
      <c r="Z46" s="62">
        <f>SUM(R46:Y46)</f>
        <v>30</v>
      </c>
      <c r="AA46" s="62">
        <f>Q46-Z46</f>
        <v>14470</v>
      </c>
      <c r="AB46" s="69" t="s">
        <v>133</v>
      </c>
      <c r="AC46" s="64" t="s">
        <v>35</v>
      </c>
    </row>
    <row r="47" spans="1:30" ht="12.75">
      <c r="A47" s="60"/>
      <c r="B47" s="60"/>
      <c r="C47" s="66" t="s">
        <v>134</v>
      </c>
      <c r="D47" s="62"/>
      <c r="E47" s="60"/>
      <c r="F47" s="60"/>
      <c r="G47" s="60"/>
      <c r="H47" s="60"/>
      <c r="I47" s="60"/>
      <c r="J47" s="63"/>
      <c r="K47" s="60"/>
      <c r="L47" s="60"/>
      <c r="M47" s="60"/>
      <c r="N47" s="60"/>
      <c r="O47" s="60"/>
      <c r="P47" s="60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64"/>
    </row>
    <row r="48" spans="1:30" ht="24.75" customHeight="1">
      <c r="A48" s="60">
        <v>38</v>
      </c>
      <c r="B48" s="60">
        <v>1</v>
      </c>
      <c r="C48" s="67" t="s">
        <v>135</v>
      </c>
      <c r="D48" s="62" t="s">
        <v>75</v>
      </c>
      <c r="E48" s="60">
        <v>33000</v>
      </c>
      <c r="F48" s="60">
        <v>33000</v>
      </c>
      <c r="G48" s="60"/>
      <c r="H48" s="60"/>
      <c r="I48" s="60"/>
      <c r="J48" s="68">
        <v>30</v>
      </c>
      <c r="K48" s="60"/>
      <c r="L48" s="60"/>
      <c r="M48" s="60"/>
      <c r="N48" s="60"/>
      <c r="O48" s="60"/>
      <c r="P48" s="60"/>
      <c r="Q48" s="62">
        <f>ROUNDUP(F48/J$5*J48+N48,0)</f>
        <v>33000</v>
      </c>
      <c r="R48" s="62"/>
      <c r="S48" s="62"/>
      <c r="T48" s="62">
        <f>IF(Q48&gt;20001,200,IF(Q48&gt;15001,150,IF(Q48&lt;15000,0,)))</f>
        <v>200</v>
      </c>
      <c r="U48" s="62">
        <f>IF(Q48,IF(1,30),IF(1,0))</f>
        <v>30</v>
      </c>
      <c r="V48" s="62"/>
      <c r="W48" s="62"/>
      <c r="X48" s="62"/>
      <c r="Y48" s="62"/>
      <c r="Z48" s="62">
        <f>SUM(R48:Y48)</f>
        <v>230</v>
      </c>
      <c r="AA48" s="62">
        <f>Q48-Z48</f>
        <v>32770</v>
      </c>
      <c r="AB48" s="69" t="s">
        <v>136</v>
      </c>
      <c r="AC48" s="64" t="s">
        <v>102</v>
      </c>
    </row>
    <row r="49" spans="1:30" ht="12.75">
      <c r="A49" s="60"/>
      <c r="B49" s="60"/>
      <c r="C49" s="61" t="s">
        <v>137</v>
      </c>
      <c r="D49" s="62"/>
      <c r="E49" s="60"/>
      <c r="F49" s="60"/>
      <c r="G49" s="60"/>
      <c r="H49" s="60"/>
      <c r="I49" s="60"/>
      <c r="J49" s="63"/>
      <c r="K49" s="60"/>
      <c r="L49" s="60"/>
      <c r="M49" s="60"/>
      <c r="N49" s="60"/>
      <c r="O49" s="60"/>
      <c r="P49" s="60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3"/>
      <c r="AC49" s="64"/>
    </row>
    <row r="50" spans="1:30" ht="12.75">
      <c r="A50" s="60"/>
      <c r="B50" s="60"/>
      <c r="C50" s="66" t="s">
        <v>592</v>
      </c>
      <c r="D50" s="62"/>
      <c r="E50" s="60"/>
      <c r="F50" s="60"/>
      <c r="G50" s="60"/>
      <c r="H50" s="60"/>
      <c r="I50" s="60"/>
      <c r="J50" s="63"/>
      <c r="K50" s="60"/>
      <c r="L50" s="60"/>
      <c r="M50" s="60"/>
      <c r="N50" s="60"/>
      <c r="O50" s="60"/>
      <c r="P50" s="60"/>
      <c r="Q50" s="62"/>
      <c r="R50" s="62"/>
      <c r="S50" s="62"/>
      <c r="T50" s="62"/>
      <c r="U50" s="62"/>
      <c r="V50" s="62"/>
      <c r="W50" s="62"/>
      <c r="X50" s="62"/>
      <c r="Y50" s="62"/>
      <c r="Z50" s="62">
        <f t="shared" ref="Z50:Z56" si="31">SUM(R50:Y50)</f>
        <v>0</v>
      </c>
      <c r="AA50" s="62"/>
      <c r="AB50" s="63"/>
      <c r="AC50" s="64"/>
    </row>
    <row r="51" spans="1:30" s="138" customFormat="1" ht="30.6" customHeight="1">
      <c r="A51" s="107">
        <v>39</v>
      </c>
      <c r="B51" s="107">
        <v>14</v>
      </c>
      <c r="C51" s="135" t="s">
        <v>613</v>
      </c>
      <c r="D51" s="136" t="s">
        <v>593</v>
      </c>
      <c r="E51" s="107">
        <v>18000</v>
      </c>
      <c r="F51" s="107">
        <v>18000</v>
      </c>
      <c r="G51" s="107"/>
      <c r="H51" s="107"/>
      <c r="I51" s="107"/>
      <c r="J51" s="137">
        <v>28</v>
      </c>
      <c r="K51" s="107"/>
      <c r="L51" s="107"/>
      <c r="M51" s="107"/>
      <c r="N51" s="107"/>
      <c r="O51" s="107"/>
      <c r="P51" s="107"/>
      <c r="Q51" s="136">
        <f>ROUNDUP(F51/J$5*J51+N51,0)</f>
        <v>16800</v>
      </c>
      <c r="R51" s="136"/>
      <c r="S51" s="136"/>
      <c r="T51" s="136">
        <f>IF(Q51&gt;20001,200,IF(Q51&gt;15001,150,IF(Q51&lt;15000,0,)))</f>
        <v>150</v>
      </c>
      <c r="U51" s="136">
        <f>IF(Q51,IF(1,30),IF(1,0))</f>
        <v>30</v>
      </c>
      <c r="V51" s="136"/>
      <c r="W51" s="136"/>
      <c r="X51" s="136"/>
      <c r="Y51" s="136"/>
      <c r="Z51" s="136">
        <f t="shared" si="31"/>
        <v>180</v>
      </c>
      <c r="AA51" s="136">
        <f>Q51-Z51</f>
        <v>16620</v>
      </c>
      <c r="AB51" s="69" t="s">
        <v>626</v>
      </c>
      <c r="AC51" s="64" t="s">
        <v>35</v>
      </c>
      <c r="AD51" s="138" t="s">
        <v>614</v>
      </c>
    </row>
    <row r="52" spans="1:30" ht="12.75">
      <c r="A52" s="60"/>
      <c r="B52" s="60"/>
      <c r="C52" s="66" t="s">
        <v>138</v>
      </c>
      <c r="D52" s="62"/>
      <c r="E52" s="60"/>
      <c r="F52" s="60"/>
      <c r="G52" s="60"/>
      <c r="H52" s="60"/>
      <c r="I52" s="60"/>
      <c r="J52" s="63"/>
      <c r="K52" s="60"/>
      <c r="L52" s="60"/>
      <c r="M52" s="60"/>
      <c r="N52" s="60"/>
      <c r="O52" s="60"/>
      <c r="P52" s="60"/>
      <c r="Q52" s="62"/>
      <c r="R52" s="62"/>
      <c r="S52" s="62"/>
      <c r="T52" s="62"/>
      <c r="U52" s="62"/>
      <c r="V52" s="62"/>
      <c r="W52" s="62"/>
      <c r="X52" s="62"/>
      <c r="Y52" s="62"/>
      <c r="Z52" s="62">
        <f t="shared" si="31"/>
        <v>0</v>
      </c>
      <c r="AA52" s="62"/>
      <c r="AB52" s="63"/>
      <c r="AC52" s="64"/>
    </row>
    <row r="53" spans="1:30" ht="22.5" customHeight="1">
      <c r="A53" s="60">
        <v>40</v>
      </c>
      <c r="B53" s="60">
        <f>B52+1</f>
        <v>1</v>
      </c>
      <c r="C53" s="67" t="s">
        <v>139</v>
      </c>
      <c r="D53" s="62" t="s">
        <v>140</v>
      </c>
      <c r="E53" s="60">
        <v>17000</v>
      </c>
      <c r="F53" s="60">
        <v>17000</v>
      </c>
      <c r="G53" s="60"/>
      <c r="H53" s="60"/>
      <c r="I53" s="60"/>
      <c r="J53" s="68">
        <v>30</v>
      </c>
      <c r="K53" s="60"/>
      <c r="L53" s="60"/>
      <c r="M53" s="60"/>
      <c r="N53" s="60"/>
      <c r="O53" s="60"/>
      <c r="P53" s="60"/>
      <c r="Q53" s="62">
        <f>ROUNDUP(F53/J$5*J53+N53,0)</f>
        <v>17000</v>
      </c>
      <c r="R53" s="62"/>
      <c r="S53" s="62"/>
      <c r="T53" s="62">
        <f t="shared" ref="T53:T56" si="32">IF(Q53&gt;20001,200,IF(Q53&gt;15001,150,IF(Q53&lt;15000,0,)))</f>
        <v>150</v>
      </c>
      <c r="U53" s="62">
        <f t="shared" ref="U53:U56" si="33">IF(Q53,IF(1,30),IF(1,0))</f>
        <v>30</v>
      </c>
      <c r="V53" s="62"/>
      <c r="W53" s="62"/>
      <c r="X53" s="62"/>
      <c r="Y53" s="62">
        <v>658</v>
      </c>
      <c r="Z53" s="62">
        <f t="shared" si="31"/>
        <v>838</v>
      </c>
      <c r="AA53" s="62">
        <f t="shared" ref="AA53:AA56" si="34">Q53-Z53</f>
        <v>16162</v>
      </c>
      <c r="AB53" s="69" t="s">
        <v>141</v>
      </c>
      <c r="AC53" s="64" t="s">
        <v>35</v>
      </c>
    </row>
    <row r="54" spans="1:30" ht="22.5" customHeight="1">
      <c r="A54" s="60">
        <v>41</v>
      </c>
      <c r="B54" s="60">
        <v>2</v>
      </c>
      <c r="C54" s="67" t="s">
        <v>142</v>
      </c>
      <c r="D54" s="62" t="s">
        <v>140</v>
      </c>
      <c r="E54" s="60">
        <v>14500</v>
      </c>
      <c r="F54" s="60">
        <v>14500</v>
      </c>
      <c r="G54" s="60"/>
      <c r="H54" s="60"/>
      <c r="I54" s="60"/>
      <c r="J54" s="68">
        <v>29</v>
      </c>
      <c r="K54" s="60"/>
      <c r="L54" s="60"/>
      <c r="M54" s="60"/>
      <c r="N54" s="60"/>
      <c r="O54" s="60"/>
      <c r="P54" s="60"/>
      <c r="Q54" s="62">
        <f>ROUNDUP(F54/J$5*J54+N54,0)</f>
        <v>14017</v>
      </c>
      <c r="R54" s="62"/>
      <c r="S54" s="62"/>
      <c r="T54" s="62">
        <f t="shared" si="32"/>
        <v>0</v>
      </c>
      <c r="U54" s="62">
        <f t="shared" si="33"/>
        <v>30</v>
      </c>
      <c r="V54" s="62"/>
      <c r="W54" s="62"/>
      <c r="X54" s="62"/>
      <c r="Y54" s="62"/>
      <c r="Z54" s="62">
        <f t="shared" si="31"/>
        <v>30</v>
      </c>
      <c r="AA54" s="62">
        <f t="shared" si="34"/>
        <v>13987</v>
      </c>
      <c r="AB54" s="69" t="s">
        <v>143</v>
      </c>
      <c r="AC54" s="64" t="s">
        <v>35</v>
      </c>
    </row>
    <row r="55" spans="1:30" ht="22.5" customHeight="1">
      <c r="A55" s="60">
        <v>42</v>
      </c>
      <c r="B55" s="60">
        <f>B54+1</f>
        <v>3</v>
      </c>
      <c r="C55" s="67" t="s">
        <v>144</v>
      </c>
      <c r="D55" s="62" t="s">
        <v>140</v>
      </c>
      <c r="E55" s="60">
        <v>14000</v>
      </c>
      <c r="F55" s="60">
        <v>14000</v>
      </c>
      <c r="G55" s="60"/>
      <c r="H55" s="60"/>
      <c r="I55" s="60"/>
      <c r="J55" s="68">
        <v>25</v>
      </c>
      <c r="K55" s="60"/>
      <c r="L55" s="60"/>
      <c r="M55" s="60"/>
      <c r="N55" s="60"/>
      <c r="O55" s="60"/>
      <c r="P55" s="60"/>
      <c r="Q55" s="62">
        <f>ROUNDUP(F55/J$5*J55+N55,0)</f>
        <v>11667</v>
      </c>
      <c r="R55" s="62"/>
      <c r="S55" s="62"/>
      <c r="T55" s="62">
        <f t="shared" si="32"/>
        <v>0</v>
      </c>
      <c r="U55" s="62">
        <f t="shared" si="33"/>
        <v>30</v>
      </c>
      <c r="V55" s="62"/>
      <c r="W55" s="62"/>
      <c r="X55" s="62"/>
      <c r="Y55" s="62"/>
      <c r="Z55" s="62">
        <f t="shared" si="31"/>
        <v>30</v>
      </c>
      <c r="AA55" s="62">
        <f t="shared" si="34"/>
        <v>11637</v>
      </c>
      <c r="AB55" s="139" t="s">
        <v>145</v>
      </c>
      <c r="AC55" s="64" t="s">
        <v>35</v>
      </c>
    </row>
    <row r="56" spans="1:30" s="77" customFormat="1" ht="22.5" customHeight="1">
      <c r="A56" s="73">
        <v>43</v>
      </c>
      <c r="B56" s="73">
        <v>4</v>
      </c>
      <c r="C56" s="71" t="s">
        <v>598</v>
      </c>
      <c r="D56" s="72" t="s">
        <v>67</v>
      </c>
      <c r="E56" s="73">
        <v>12000</v>
      </c>
      <c r="F56" s="73">
        <v>12000</v>
      </c>
      <c r="G56" s="73"/>
      <c r="H56" s="73"/>
      <c r="I56" s="73"/>
      <c r="J56" s="74">
        <v>30</v>
      </c>
      <c r="K56" s="73"/>
      <c r="L56" s="73"/>
      <c r="M56" s="73"/>
      <c r="N56" s="73"/>
      <c r="O56" s="73"/>
      <c r="P56" s="73"/>
      <c r="Q56" s="72">
        <f>ROUNDUP(F56/J$5*J56+N56,0)</f>
        <v>12000</v>
      </c>
      <c r="R56" s="72"/>
      <c r="S56" s="72"/>
      <c r="T56" s="72">
        <f t="shared" si="32"/>
        <v>0</v>
      </c>
      <c r="U56" s="72">
        <f t="shared" si="33"/>
        <v>30</v>
      </c>
      <c r="V56" s="72"/>
      <c r="W56" s="72"/>
      <c r="X56" s="72"/>
      <c r="Y56" s="72"/>
      <c r="Z56" s="72">
        <f t="shared" si="31"/>
        <v>30</v>
      </c>
      <c r="AA56" s="72">
        <f t="shared" si="34"/>
        <v>11970</v>
      </c>
      <c r="AB56" s="139" t="s">
        <v>599</v>
      </c>
      <c r="AC56" s="64" t="s">
        <v>596</v>
      </c>
    </row>
    <row r="57" spans="1:30" ht="15" customHeight="1">
      <c r="A57" s="60"/>
      <c r="B57" s="60"/>
      <c r="C57" s="66" t="s">
        <v>152</v>
      </c>
      <c r="D57" s="62"/>
      <c r="E57" s="60"/>
      <c r="F57" s="60"/>
      <c r="G57" s="60"/>
      <c r="H57" s="60"/>
      <c r="I57" s="60"/>
      <c r="J57" s="63"/>
      <c r="K57" s="60"/>
      <c r="L57" s="60"/>
      <c r="M57" s="60"/>
      <c r="N57" s="60"/>
      <c r="O57" s="60"/>
      <c r="P57" s="60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3"/>
      <c r="AC57" s="64"/>
    </row>
    <row r="58" spans="1:30" ht="27.75" customHeight="1">
      <c r="A58" s="60">
        <v>44</v>
      </c>
      <c r="B58" s="60">
        <v>1</v>
      </c>
      <c r="C58" s="67" t="s">
        <v>155</v>
      </c>
      <c r="D58" s="62" t="s">
        <v>140</v>
      </c>
      <c r="E58" s="60">
        <v>11000</v>
      </c>
      <c r="F58" s="60">
        <v>11000</v>
      </c>
      <c r="G58" s="60"/>
      <c r="H58" s="60"/>
      <c r="I58" s="60"/>
      <c r="J58" s="68">
        <v>30</v>
      </c>
      <c r="K58" s="60"/>
      <c r="L58" s="60"/>
      <c r="M58" s="60"/>
      <c r="N58" s="60"/>
      <c r="O58" s="60"/>
      <c r="P58" s="60"/>
      <c r="Q58" s="62">
        <f>ROUNDUP(F58/J$5*J58+N58,0)</f>
        <v>11000</v>
      </c>
      <c r="R58" s="62">
        <f>ROUNDUP(Q58*12/100,0)</f>
        <v>1320</v>
      </c>
      <c r="S58" s="62"/>
      <c r="T58" s="62">
        <f>IF(Q58&gt;20001,200,IF(Q58&gt;15001,150,IF(Q58&lt;15000,0,)))</f>
        <v>0</v>
      </c>
      <c r="U58" s="62">
        <f>IF(Q58,IF(1,30),IF(1,0))</f>
        <v>30</v>
      </c>
      <c r="V58" s="62"/>
      <c r="W58" s="62"/>
      <c r="X58" s="62"/>
      <c r="Y58" s="62"/>
      <c r="Z58" s="62">
        <f>SUM(R58:Y58)</f>
        <v>1350</v>
      </c>
      <c r="AA58" s="62">
        <f>Q58-Z58</f>
        <v>9650</v>
      </c>
      <c r="AB58" s="69" t="s">
        <v>156</v>
      </c>
      <c r="AC58" s="64" t="s">
        <v>35</v>
      </c>
    </row>
    <row r="59" spans="1:30" ht="27.75" customHeight="1">
      <c r="A59" s="60">
        <v>45</v>
      </c>
      <c r="B59" s="60">
        <v>2</v>
      </c>
      <c r="C59" s="67" t="s">
        <v>153</v>
      </c>
      <c r="D59" s="62" t="s">
        <v>140</v>
      </c>
      <c r="E59" s="60">
        <v>14000</v>
      </c>
      <c r="F59" s="60">
        <v>14000</v>
      </c>
      <c r="G59" s="60"/>
      <c r="H59" s="60"/>
      <c r="I59" s="60"/>
      <c r="J59" s="68">
        <v>29</v>
      </c>
      <c r="K59" s="60"/>
      <c r="L59" s="60"/>
      <c r="M59" s="60"/>
      <c r="N59" s="60"/>
      <c r="O59" s="60"/>
      <c r="P59" s="60"/>
      <c r="Q59" s="62">
        <f>ROUNDUP(F59/J$5*J59+N59,0)</f>
        <v>13534</v>
      </c>
      <c r="R59" s="62"/>
      <c r="S59" s="62"/>
      <c r="T59" s="62">
        <f t="shared" ref="T59:T62" si="35">IF(Q59&gt;20001,200,IF(Q59&gt;15001,150,IF(Q59&lt;15000,0,)))</f>
        <v>0</v>
      </c>
      <c r="U59" s="62">
        <f t="shared" ref="U59:U62" si="36">IF(Q59,IF(1,30),IF(1,0))</f>
        <v>30</v>
      </c>
      <c r="V59" s="62"/>
      <c r="W59" s="62"/>
      <c r="X59" s="62"/>
      <c r="Y59" s="62"/>
      <c r="Z59" s="62">
        <f t="shared" ref="Z59:Z62" si="37">SUM(R59:Y59)</f>
        <v>30</v>
      </c>
      <c r="AA59" s="62">
        <f t="shared" ref="AA59:AA62" si="38">Q59-Z59</f>
        <v>13504</v>
      </c>
      <c r="AB59" s="69" t="s">
        <v>154</v>
      </c>
      <c r="AC59" s="64" t="s">
        <v>35</v>
      </c>
    </row>
    <row r="60" spans="1:30" ht="27.75" customHeight="1">
      <c r="A60" s="60">
        <v>46</v>
      </c>
      <c r="B60" s="60">
        <v>3</v>
      </c>
      <c r="C60" s="67" t="s">
        <v>162</v>
      </c>
      <c r="D60" s="62" t="s">
        <v>140</v>
      </c>
      <c r="E60" s="60">
        <v>13000</v>
      </c>
      <c r="F60" s="60">
        <v>13000</v>
      </c>
      <c r="G60" s="60"/>
      <c r="H60" s="60"/>
      <c r="I60" s="60"/>
      <c r="J60" s="68">
        <v>29</v>
      </c>
      <c r="K60" s="60"/>
      <c r="L60" s="60"/>
      <c r="M60" s="60"/>
      <c r="N60" s="60"/>
      <c r="O60" s="60"/>
      <c r="P60" s="60"/>
      <c r="Q60" s="62">
        <f>ROUNDUP(F60/J$5*J60+N60,0)</f>
        <v>12567</v>
      </c>
      <c r="R60" s="62"/>
      <c r="S60" s="62"/>
      <c r="T60" s="62">
        <f>IF(Q60&gt;20001,200,IF(Q60&gt;15001,150,IF(Q60&lt;15000,0,)))</f>
        <v>0</v>
      </c>
      <c r="U60" s="62">
        <f>IF(Q60,IF(1,30),IF(1,0))</f>
        <v>30</v>
      </c>
      <c r="V60" s="62"/>
      <c r="W60" s="62"/>
      <c r="X60" s="62"/>
      <c r="Y60" s="62"/>
      <c r="Z60" s="62">
        <f>SUM(R60:Y60)</f>
        <v>30</v>
      </c>
      <c r="AA60" s="62">
        <f>Q60-Z60</f>
        <v>12537</v>
      </c>
      <c r="AB60" s="69" t="s">
        <v>163</v>
      </c>
      <c r="AC60" s="64" t="s">
        <v>35</v>
      </c>
    </row>
    <row r="61" spans="1:30" ht="27.75" customHeight="1">
      <c r="A61" s="60">
        <v>47</v>
      </c>
      <c r="B61" s="60">
        <v>4</v>
      </c>
      <c r="C61" s="67" t="s">
        <v>160</v>
      </c>
      <c r="D61" s="62" t="s">
        <v>140</v>
      </c>
      <c r="E61" s="60">
        <v>16500</v>
      </c>
      <c r="F61" s="60">
        <v>16500</v>
      </c>
      <c r="G61" s="60"/>
      <c r="H61" s="60"/>
      <c r="I61" s="60"/>
      <c r="J61" s="68">
        <v>29.5</v>
      </c>
      <c r="K61" s="60"/>
      <c r="L61" s="60"/>
      <c r="M61" s="60"/>
      <c r="N61" s="60"/>
      <c r="O61" s="60"/>
      <c r="P61" s="60"/>
      <c r="Q61" s="62">
        <f>ROUNDUP(F61/J$5*J61+N61,0)</f>
        <v>16225</v>
      </c>
      <c r="R61" s="62"/>
      <c r="S61" s="62"/>
      <c r="T61" s="62">
        <f>IF(Q61&gt;20001,200,IF(Q61&gt;15001,150,IF(Q61&lt;15000,0,)))</f>
        <v>150</v>
      </c>
      <c r="U61" s="62">
        <f>IF(Q61,IF(1,30),IF(1,0))</f>
        <v>30</v>
      </c>
      <c r="V61" s="62"/>
      <c r="W61" s="62"/>
      <c r="X61" s="62"/>
      <c r="Y61" s="62"/>
      <c r="Z61" s="62">
        <f>SUM(R61:Y61)</f>
        <v>180</v>
      </c>
      <c r="AA61" s="62">
        <f>Q61-Z61</f>
        <v>16045</v>
      </c>
      <c r="AB61" s="140" t="s">
        <v>161</v>
      </c>
      <c r="AC61" s="141" t="s">
        <v>77</v>
      </c>
    </row>
    <row r="62" spans="1:30" ht="27.75" customHeight="1">
      <c r="A62" s="60">
        <v>48</v>
      </c>
      <c r="B62" s="60">
        <v>5</v>
      </c>
      <c r="C62" s="67" t="s">
        <v>157</v>
      </c>
      <c r="D62" s="62" t="s">
        <v>47</v>
      </c>
      <c r="E62" s="60">
        <v>11500</v>
      </c>
      <c r="F62" s="60">
        <v>11500</v>
      </c>
      <c r="G62" s="60"/>
      <c r="H62" s="60"/>
      <c r="I62" s="60"/>
      <c r="J62" s="68">
        <v>27</v>
      </c>
      <c r="K62" s="60"/>
      <c r="L62" s="60"/>
      <c r="M62" s="60"/>
      <c r="N62" s="60"/>
      <c r="O62" s="60"/>
      <c r="P62" s="60"/>
      <c r="Q62" s="62">
        <f>ROUNDUP(F62/J$5*J62+N62,0)</f>
        <v>10350</v>
      </c>
      <c r="R62" s="62"/>
      <c r="S62" s="62"/>
      <c r="T62" s="62">
        <f t="shared" si="35"/>
        <v>0</v>
      </c>
      <c r="U62" s="62">
        <f t="shared" si="36"/>
        <v>30</v>
      </c>
      <c r="V62" s="62"/>
      <c r="W62" s="62"/>
      <c r="X62" s="62"/>
      <c r="Y62" s="62"/>
      <c r="Z62" s="62">
        <f t="shared" si="37"/>
        <v>30</v>
      </c>
      <c r="AA62" s="62">
        <f t="shared" si="38"/>
        <v>10320</v>
      </c>
      <c r="AB62" s="142" t="s">
        <v>158</v>
      </c>
      <c r="AC62" s="64" t="s">
        <v>159</v>
      </c>
    </row>
    <row r="63" spans="1:30" ht="12.75">
      <c r="A63" s="60"/>
      <c r="B63" s="60"/>
      <c r="C63" s="66" t="s">
        <v>166</v>
      </c>
      <c r="D63" s="62"/>
      <c r="E63" s="60"/>
      <c r="F63" s="60"/>
      <c r="G63" s="60"/>
      <c r="H63" s="60"/>
      <c r="I63" s="60"/>
      <c r="J63" s="63"/>
      <c r="K63" s="60"/>
      <c r="L63" s="60"/>
      <c r="M63" s="60"/>
      <c r="N63" s="60"/>
      <c r="O63" s="60"/>
      <c r="P63" s="60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3"/>
      <c r="AC63" s="64"/>
    </row>
    <row r="64" spans="1:30" s="138" customFormat="1" ht="24.75" customHeight="1">
      <c r="A64" s="100">
        <v>49</v>
      </c>
      <c r="B64" s="100">
        <v>1</v>
      </c>
      <c r="C64" s="101" t="s">
        <v>168</v>
      </c>
      <c r="D64" s="102" t="s">
        <v>140</v>
      </c>
      <c r="E64" s="100">
        <v>19500</v>
      </c>
      <c r="F64" s="100">
        <v>19500</v>
      </c>
      <c r="G64" s="100"/>
      <c r="H64" s="100"/>
      <c r="I64" s="100"/>
      <c r="J64" s="103">
        <v>28</v>
      </c>
      <c r="K64" s="100"/>
      <c r="L64" s="100"/>
      <c r="M64" s="100"/>
      <c r="N64" s="100">
        <v>-5400</v>
      </c>
      <c r="O64" s="100"/>
      <c r="P64" s="100"/>
      <c r="Q64" s="102">
        <f>ROUNDUP(F64/J$5*J64+N64,0)</f>
        <v>12800</v>
      </c>
      <c r="R64" s="102">
        <v>1800</v>
      </c>
      <c r="S64" s="102"/>
      <c r="T64" s="102">
        <f>IF(Q64&gt;20001,200,IF(Q64&gt;15001,150,IF(Q64&lt;15000,0,)))</f>
        <v>0</v>
      </c>
      <c r="U64" s="102">
        <f>IF(Q64,IF(1,30),IF(1,0))</f>
        <v>30</v>
      </c>
      <c r="V64" s="102"/>
      <c r="W64" s="102"/>
      <c r="X64" s="102"/>
      <c r="Y64" s="102"/>
      <c r="Z64" s="102">
        <f>SUM(R64:Y64)</f>
        <v>1830</v>
      </c>
      <c r="AA64" s="102">
        <f>Q64-Z64</f>
        <v>10970</v>
      </c>
      <c r="AB64" s="177" t="s">
        <v>169</v>
      </c>
      <c r="AC64" s="178" t="s">
        <v>35</v>
      </c>
      <c r="AD64" s="138" t="s">
        <v>625</v>
      </c>
    </row>
    <row r="65" spans="1:29" ht="24.75" customHeight="1">
      <c r="A65" s="60">
        <v>50</v>
      </c>
      <c r="B65" s="60">
        <v>2</v>
      </c>
      <c r="C65" s="67" t="s">
        <v>173</v>
      </c>
      <c r="D65" s="62" t="s">
        <v>140</v>
      </c>
      <c r="E65" s="60">
        <v>12000</v>
      </c>
      <c r="F65" s="60">
        <v>12000</v>
      </c>
      <c r="G65" s="60"/>
      <c r="H65" s="60"/>
      <c r="I65" s="60"/>
      <c r="J65" s="68">
        <v>30</v>
      </c>
      <c r="K65" s="60"/>
      <c r="L65" s="60"/>
      <c r="M65" s="60"/>
      <c r="N65" s="60"/>
      <c r="O65" s="60"/>
      <c r="P65" s="60"/>
      <c r="Q65" s="62">
        <f>ROUNDUP(F65/J$5*J65+N65,0)</f>
        <v>12000</v>
      </c>
      <c r="R65" s="62"/>
      <c r="S65" s="62"/>
      <c r="T65" s="62">
        <f t="shared" ref="T65" si="39">IF(Q65&gt;20001,200,IF(Q65&gt;15001,150,IF(Q65&lt;15000,0,)))</f>
        <v>0</v>
      </c>
      <c r="U65" s="62">
        <f t="shared" ref="U65" si="40">IF(Q65,IF(1,30),IF(1,0))</f>
        <v>30</v>
      </c>
      <c r="V65" s="62"/>
      <c r="W65" s="62"/>
      <c r="X65" s="62"/>
      <c r="Y65" s="62"/>
      <c r="Z65" s="62">
        <f t="shared" ref="Z65" si="41">SUM(R65:Y65)</f>
        <v>30</v>
      </c>
      <c r="AA65" s="62">
        <f t="shared" ref="AA65" si="42">Q65-Z65</f>
        <v>11970</v>
      </c>
      <c r="AB65" s="143" t="s">
        <v>174</v>
      </c>
      <c r="AC65" s="64" t="s">
        <v>105</v>
      </c>
    </row>
    <row r="66" spans="1:29" ht="24.75" customHeight="1">
      <c r="A66" s="60">
        <v>51</v>
      </c>
      <c r="B66" s="60">
        <v>3</v>
      </c>
      <c r="C66" s="67" t="s">
        <v>600</v>
      </c>
      <c r="D66" s="62" t="s">
        <v>167</v>
      </c>
      <c r="E66" s="60">
        <v>12000</v>
      </c>
      <c r="F66" s="60">
        <v>12000</v>
      </c>
      <c r="G66" s="60"/>
      <c r="H66" s="60"/>
      <c r="I66" s="60"/>
      <c r="J66" s="68">
        <v>30</v>
      </c>
      <c r="K66" s="60"/>
      <c r="L66" s="60"/>
      <c r="M66" s="60"/>
      <c r="N66" s="60"/>
      <c r="O66" s="60"/>
      <c r="P66" s="60"/>
      <c r="Q66" s="62">
        <f>ROUNDUP(F66/J$5*J66+N66,0)</f>
        <v>12000</v>
      </c>
      <c r="R66" s="62"/>
      <c r="S66" s="62"/>
      <c r="T66" s="62">
        <f>IF(Q66&gt;20001,200,IF(Q66&gt;15001,150,IF(Q66&lt;15000,0,)))</f>
        <v>0</v>
      </c>
      <c r="U66" s="62">
        <f>IF(Q66,IF(1,30),IF(1,0))</f>
        <v>30</v>
      </c>
      <c r="V66" s="62"/>
      <c r="W66" s="62"/>
      <c r="X66" s="62"/>
      <c r="Y66" s="62"/>
      <c r="Z66" s="62">
        <f>SUM(R66:Y66)</f>
        <v>30</v>
      </c>
      <c r="AA66" s="62">
        <f>Q66-Z66</f>
        <v>11970</v>
      </c>
      <c r="AB66" s="69" t="s">
        <v>601</v>
      </c>
      <c r="AC66" s="64" t="s">
        <v>589</v>
      </c>
    </row>
    <row r="67" spans="1:29" ht="12.75">
      <c r="A67" s="60"/>
      <c r="B67" s="60"/>
      <c r="C67" s="66" t="s">
        <v>200</v>
      </c>
      <c r="D67" s="62"/>
      <c r="E67" s="60"/>
      <c r="F67" s="60"/>
      <c r="G67" s="60"/>
      <c r="H67" s="60"/>
      <c r="I67" s="60"/>
      <c r="J67" s="63"/>
      <c r="K67" s="60"/>
      <c r="L67" s="60"/>
      <c r="M67" s="60"/>
      <c r="N67" s="60"/>
      <c r="O67" s="60"/>
      <c r="P67" s="60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3"/>
      <c r="AC67" s="64"/>
    </row>
    <row r="68" spans="1:29" ht="30" customHeight="1">
      <c r="A68" s="64">
        <v>52</v>
      </c>
      <c r="B68" s="60">
        <v>1</v>
      </c>
      <c r="C68" s="67" t="s">
        <v>217</v>
      </c>
      <c r="D68" s="62" t="s">
        <v>47</v>
      </c>
      <c r="E68" s="60">
        <v>14000</v>
      </c>
      <c r="F68" s="60">
        <v>14000</v>
      </c>
      <c r="G68" s="60"/>
      <c r="H68" s="60"/>
      <c r="I68" s="60"/>
      <c r="J68" s="68">
        <v>30</v>
      </c>
      <c r="K68" s="60"/>
      <c r="L68" s="60"/>
      <c r="M68" s="60"/>
      <c r="N68" s="60"/>
      <c r="O68" s="60"/>
      <c r="P68" s="60"/>
      <c r="Q68" s="62">
        <f>ROUNDUP(F68/J$5*J68+N68,0)</f>
        <v>14000</v>
      </c>
      <c r="R68" s="62"/>
      <c r="S68" s="62"/>
      <c r="T68" s="62">
        <f>IF(Q68&gt;20001,200,IF(Q68&gt;15001,150,IF(Q68&lt;15000,0,)))</f>
        <v>0</v>
      </c>
      <c r="U68" s="62">
        <f>IF(Q68,IF(1,30),IF(1,0))</f>
        <v>30</v>
      </c>
      <c r="V68" s="62"/>
      <c r="W68" s="62"/>
      <c r="X68" s="62"/>
      <c r="Y68" s="62"/>
      <c r="Z68" s="62">
        <f>SUM(R68:Y68)</f>
        <v>30</v>
      </c>
      <c r="AA68" s="62">
        <f>Q68-Z68</f>
        <v>13970</v>
      </c>
      <c r="AB68" s="69" t="s">
        <v>218</v>
      </c>
      <c r="AC68" s="64" t="s">
        <v>122</v>
      </c>
    </row>
    <row r="69" spans="1:29" ht="25.5" customHeight="1">
      <c r="A69" s="64">
        <v>53</v>
      </c>
      <c r="B69" s="60">
        <v>2</v>
      </c>
      <c r="C69" s="67" t="s">
        <v>204</v>
      </c>
      <c r="D69" s="62" t="s">
        <v>140</v>
      </c>
      <c r="E69" s="60">
        <v>14500</v>
      </c>
      <c r="F69" s="60">
        <v>14500</v>
      </c>
      <c r="G69" s="60"/>
      <c r="H69" s="60"/>
      <c r="I69" s="60"/>
      <c r="J69" s="68">
        <v>29.5</v>
      </c>
      <c r="K69" s="60"/>
      <c r="L69" s="60"/>
      <c r="M69" s="60"/>
      <c r="N69" s="60"/>
      <c r="O69" s="60"/>
      <c r="P69" s="60"/>
      <c r="Q69" s="62">
        <f>ROUNDUP(F69/J$5*J69+N69,0)</f>
        <v>14259</v>
      </c>
      <c r="R69" s="62"/>
      <c r="S69" s="62"/>
      <c r="T69" s="62">
        <f>IF(Q69&gt;20001,200,IF(Q69&gt;15001,150,IF(Q69&lt;15000,0,)))</f>
        <v>0</v>
      </c>
      <c r="U69" s="62">
        <f>IF(Q69,IF(1,30),IF(1,0))</f>
        <v>30</v>
      </c>
      <c r="V69" s="62"/>
      <c r="W69" s="62"/>
      <c r="X69" s="62"/>
      <c r="Y69" s="62"/>
      <c r="Z69" s="62">
        <f>SUM(R69:Y69)</f>
        <v>30</v>
      </c>
      <c r="AA69" s="62">
        <f>Q69-Z69</f>
        <v>14229</v>
      </c>
      <c r="AB69" s="69" t="s">
        <v>205</v>
      </c>
      <c r="AC69" s="64" t="s">
        <v>35</v>
      </c>
    </row>
    <row r="70" spans="1:29" ht="25.5" customHeight="1">
      <c r="A70" s="64">
        <v>54</v>
      </c>
      <c r="B70" s="60">
        <v>3</v>
      </c>
      <c r="C70" s="67" t="s">
        <v>201</v>
      </c>
      <c r="D70" s="62" t="s">
        <v>140</v>
      </c>
      <c r="E70" s="60">
        <v>18500</v>
      </c>
      <c r="F70" s="60">
        <v>18500</v>
      </c>
      <c r="G70" s="60"/>
      <c r="H70" s="60"/>
      <c r="I70" s="60"/>
      <c r="J70" s="68">
        <v>29.5</v>
      </c>
      <c r="K70" s="60"/>
      <c r="L70" s="60"/>
      <c r="M70" s="60"/>
      <c r="N70" s="60"/>
      <c r="O70" s="60"/>
      <c r="P70" s="60"/>
      <c r="Q70" s="62">
        <f t="shared" ref="Q70:Q74" si="43">ROUNDUP(F70/J$5*J70+N70,0)</f>
        <v>18192</v>
      </c>
      <c r="R70" s="62"/>
      <c r="S70" s="62"/>
      <c r="T70" s="62">
        <f t="shared" ref="T70:T74" si="44">IF(Q70&gt;20001,200,IF(Q70&gt;15001,150,IF(Q70&lt;15000,0,)))</f>
        <v>150</v>
      </c>
      <c r="U70" s="62">
        <f t="shared" ref="U70:U74" si="45">IF(Q70,IF(1,30),IF(1,0))</f>
        <v>30</v>
      </c>
      <c r="V70" s="62"/>
      <c r="W70" s="62"/>
      <c r="X70" s="62"/>
      <c r="Y70" s="62"/>
      <c r="Z70" s="62">
        <f t="shared" ref="Z70:Z74" si="46">SUM(R70:Y70)</f>
        <v>180</v>
      </c>
      <c r="AA70" s="62">
        <f t="shared" ref="AA70:AA74" si="47">Q70-Z70</f>
        <v>18012</v>
      </c>
      <c r="AB70" s="64" t="s">
        <v>202</v>
      </c>
      <c r="AC70" s="64" t="s">
        <v>203</v>
      </c>
    </row>
    <row r="71" spans="1:29" ht="25.5" customHeight="1">
      <c r="A71" s="64">
        <v>55</v>
      </c>
      <c r="B71" s="60">
        <v>4</v>
      </c>
      <c r="C71" s="67" t="s">
        <v>206</v>
      </c>
      <c r="D71" s="62" t="s">
        <v>140</v>
      </c>
      <c r="E71" s="60">
        <v>18000</v>
      </c>
      <c r="F71" s="60">
        <v>18000</v>
      </c>
      <c r="G71" s="60"/>
      <c r="H71" s="60"/>
      <c r="I71" s="60"/>
      <c r="J71" s="68">
        <v>25.5</v>
      </c>
      <c r="K71" s="60"/>
      <c r="L71" s="60"/>
      <c r="M71" s="60"/>
      <c r="N71" s="60"/>
      <c r="O71" s="60"/>
      <c r="P71" s="60"/>
      <c r="Q71" s="62">
        <f t="shared" si="43"/>
        <v>15300</v>
      </c>
      <c r="R71" s="62"/>
      <c r="S71" s="62"/>
      <c r="T71" s="62">
        <f t="shared" si="44"/>
        <v>150</v>
      </c>
      <c r="U71" s="62">
        <f t="shared" si="45"/>
        <v>30</v>
      </c>
      <c r="V71" s="62"/>
      <c r="W71" s="62"/>
      <c r="X71" s="62"/>
      <c r="Y71" s="62"/>
      <c r="Z71" s="62">
        <f t="shared" si="46"/>
        <v>180</v>
      </c>
      <c r="AA71" s="62">
        <f t="shared" si="47"/>
        <v>15120</v>
      </c>
      <c r="AB71" s="69" t="s">
        <v>207</v>
      </c>
      <c r="AC71" s="64" t="s">
        <v>208</v>
      </c>
    </row>
    <row r="72" spans="1:29" ht="25.5" customHeight="1">
      <c r="A72" s="64">
        <v>56</v>
      </c>
      <c r="B72" s="60">
        <v>5</v>
      </c>
      <c r="C72" s="67" t="s">
        <v>209</v>
      </c>
      <c r="D72" s="62" t="s">
        <v>140</v>
      </c>
      <c r="E72" s="60">
        <v>12000</v>
      </c>
      <c r="F72" s="60">
        <v>12000</v>
      </c>
      <c r="G72" s="60"/>
      <c r="H72" s="60"/>
      <c r="I72" s="60"/>
      <c r="J72" s="68">
        <v>30</v>
      </c>
      <c r="K72" s="60"/>
      <c r="L72" s="60"/>
      <c r="M72" s="60"/>
      <c r="N72" s="60"/>
      <c r="O72" s="60"/>
      <c r="P72" s="60"/>
      <c r="Q72" s="62">
        <f t="shared" si="43"/>
        <v>12000</v>
      </c>
      <c r="R72" s="62"/>
      <c r="S72" s="62"/>
      <c r="T72" s="62">
        <f t="shared" ref="T72:T73" si="48">IF(Q72&gt;20001,200,IF(Q72&gt;15001,150,IF(Q72&lt;15000,0,)))</f>
        <v>0</v>
      </c>
      <c r="U72" s="62">
        <f t="shared" ref="U72:U73" si="49">IF(Q72,IF(1,30),IF(1,0))</f>
        <v>30</v>
      </c>
      <c r="V72" s="62"/>
      <c r="W72" s="62"/>
      <c r="X72" s="62"/>
      <c r="Y72" s="62"/>
      <c r="Z72" s="62">
        <f t="shared" ref="Z72:Z73" si="50">SUM(R72:Y72)</f>
        <v>30</v>
      </c>
      <c r="AA72" s="62">
        <f t="shared" ref="AA72:AA73" si="51">Q72-Z72</f>
        <v>11970</v>
      </c>
      <c r="AB72" s="69" t="s">
        <v>210</v>
      </c>
      <c r="AC72" s="64" t="s">
        <v>211</v>
      </c>
    </row>
    <row r="73" spans="1:29" ht="25.5" customHeight="1">
      <c r="A73" s="64">
        <v>57</v>
      </c>
      <c r="B73" s="60">
        <v>6</v>
      </c>
      <c r="C73" s="67" t="s">
        <v>212</v>
      </c>
      <c r="D73" s="62" t="s">
        <v>140</v>
      </c>
      <c r="E73" s="60">
        <v>12000</v>
      </c>
      <c r="F73" s="60">
        <v>12000</v>
      </c>
      <c r="G73" s="60"/>
      <c r="H73" s="60"/>
      <c r="I73" s="60"/>
      <c r="J73" s="68">
        <v>30</v>
      </c>
      <c r="K73" s="60"/>
      <c r="L73" s="60"/>
      <c r="M73" s="60"/>
      <c r="N73" s="60"/>
      <c r="O73" s="60"/>
      <c r="P73" s="60"/>
      <c r="Q73" s="62">
        <f t="shared" si="43"/>
        <v>12000</v>
      </c>
      <c r="R73" s="62"/>
      <c r="S73" s="62"/>
      <c r="T73" s="62">
        <f t="shared" si="48"/>
        <v>0</v>
      </c>
      <c r="U73" s="62">
        <f t="shared" si="49"/>
        <v>30</v>
      </c>
      <c r="V73" s="62"/>
      <c r="W73" s="62"/>
      <c r="X73" s="62"/>
      <c r="Y73" s="62"/>
      <c r="Z73" s="62">
        <f t="shared" si="50"/>
        <v>30</v>
      </c>
      <c r="AA73" s="62">
        <f t="shared" si="51"/>
        <v>11970</v>
      </c>
      <c r="AB73" s="69" t="s">
        <v>213</v>
      </c>
      <c r="AC73" s="64" t="s">
        <v>214</v>
      </c>
    </row>
    <row r="74" spans="1:29" ht="25.5" customHeight="1">
      <c r="A74" s="64">
        <v>58</v>
      </c>
      <c r="B74" s="60">
        <v>7</v>
      </c>
      <c r="C74" s="67" t="s">
        <v>215</v>
      </c>
      <c r="D74" s="62" t="s">
        <v>140</v>
      </c>
      <c r="E74" s="60">
        <v>12000</v>
      </c>
      <c r="F74" s="60">
        <v>12000</v>
      </c>
      <c r="G74" s="60"/>
      <c r="H74" s="60"/>
      <c r="I74" s="60"/>
      <c r="J74" s="68">
        <v>29</v>
      </c>
      <c r="K74" s="60"/>
      <c r="L74" s="60"/>
      <c r="M74" s="60"/>
      <c r="N74" s="60"/>
      <c r="O74" s="60"/>
      <c r="P74" s="60"/>
      <c r="Q74" s="62">
        <f t="shared" si="43"/>
        <v>11600</v>
      </c>
      <c r="R74" s="62"/>
      <c r="S74" s="62"/>
      <c r="T74" s="62">
        <f t="shared" si="44"/>
        <v>0</v>
      </c>
      <c r="U74" s="62">
        <f t="shared" si="45"/>
        <v>30</v>
      </c>
      <c r="V74" s="62"/>
      <c r="W74" s="62"/>
      <c r="X74" s="62"/>
      <c r="Y74" s="62"/>
      <c r="Z74" s="62">
        <f t="shared" si="46"/>
        <v>30</v>
      </c>
      <c r="AA74" s="62">
        <f t="shared" si="47"/>
        <v>11570</v>
      </c>
      <c r="AB74" s="69" t="s">
        <v>216</v>
      </c>
      <c r="AC74" s="64" t="s">
        <v>196</v>
      </c>
    </row>
    <row r="75" spans="1:29" ht="24.75" customHeight="1">
      <c r="A75" s="64">
        <v>59</v>
      </c>
      <c r="B75" s="60">
        <v>8</v>
      </c>
      <c r="C75" s="67" t="s">
        <v>170</v>
      </c>
      <c r="D75" s="62" t="s">
        <v>140</v>
      </c>
      <c r="E75" s="60">
        <v>12000</v>
      </c>
      <c r="F75" s="60">
        <v>12000</v>
      </c>
      <c r="G75" s="60"/>
      <c r="H75" s="60"/>
      <c r="I75" s="60"/>
      <c r="J75" s="68">
        <v>29</v>
      </c>
      <c r="K75" s="60"/>
      <c r="L75" s="60"/>
      <c r="M75" s="60"/>
      <c r="N75" s="60"/>
      <c r="O75" s="60"/>
      <c r="P75" s="60"/>
      <c r="Q75" s="62">
        <f>ROUNDUP(F75/J$5*J75+N75,0)</f>
        <v>11600</v>
      </c>
      <c r="R75" s="62"/>
      <c r="S75" s="62"/>
      <c r="T75" s="62">
        <f t="shared" ref="T75" si="52">IF(Q75&gt;20001,200,IF(Q75&gt;15001,150,IF(Q75&lt;15000,0,)))</f>
        <v>0</v>
      </c>
      <c r="U75" s="62">
        <f t="shared" ref="U75" si="53">IF(Q75,IF(1,30),IF(1,0))</f>
        <v>30</v>
      </c>
      <c r="V75" s="62"/>
      <c r="W75" s="62"/>
      <c r="X75" s="62"/>
      <c r="Y75" s="62"/>
      <c r="Z75" s="62">
        <f t="shared" ref="Z75" si="54">SUM(R75:Y75)</f>
        <v>30</v>
      </c>
      <c r="AA75" s="62">
        <f>Q75-Z75</f>
        <v>11570</v>
      </c>
      <c r="AB75" s="143" t="s">
        <v>171</v>
      </c>
      <c r="AC75" s="64" t="s">
        <v>172</v>
      </c>
    </row>
    <row r="76" spans="1:29" ht="12.75">
      <c r="A76" s="60"/>
      <c r="B76" s="60"/>
      <c r="C76" s="66" t="s">
        <v>197</v>
      </c>
      <c r="D76" s="62"/>
      <c r="E76" s="60"/>
      <c r="F76" s="60"/>
      <c r="G76" s="60"/>
      <c r="H76" s="60"/>
      <c r="I76" s="60"/>
      <c r="J76" s="68"/>
      <c r="K76" s="60"/>
      <c r="L76" s="60"/>
      <c r="M76" s="60"/>
      <c r="N76" s="60"/>
      <c r="O76" s="60"/>
      <c r="P76" s="60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141"/>
      <c r="AC76" s="141"/>
    </row>
    <row r="77" spans="1:29" ht="25.5" customHeight="1">
      <c r="A77" s="60">
        <v>60</v>
      </c>
      <c r="B77" s="60">
        <v>1</v>
      </c>
      <c r="C77" s="67" t="s">
        <v>198</v>
      </c>
      <c r="D77" s="62" t="s">
        <v>47</v>
      </c>
      <c r="E77" s="60">
        <v>13500</v>
      </c>
      <c r="F77" s="60">
        <v>13500</v>
      </c>
      <c r="G77" s="60"/>
      <c r="H77" s="60"/>
      <c r="I77" s="60"/>
      <c r="J77" s="68">
        <v>28.5</v>
      </c>
      <c r="K77" s="60"/>
      <c r="L77" s="60"/>
      <c r="M77" s="60"/>
      <c r="N77" s="60"/>
      <c r="O77" s="60"/>
      <c r="P77" s="60"/>
      <c r="Q77" s="62">
        <f>ROUNDUP(F77/J$5*J77+N77,0)</f>
        <v>12825</v>
      </c>
      <c r="R77" s="62"/>
      <c r="S77" s="62"/>
      <c r="T77" s="62">
        <f>IF(Q77&gt;20001,200,IF(Q77&gt;15001,150,IF(Q77&lt;15000,0,)))</f>
        <v>0</v>
      </c>
      <c r="U77" s="62">
        <f>IF(Q77,IF(1,30),IF(1,0))</f>
        <v>30</v>
      </c>
      <c r="V77" s="62"/>
      <c r="W77" s="62"/>
      <c r="X77" s="62"/>
      <c r="Y77" s="62"/>
      <c r="Z77" s="62">
        <f>SUM(R77:Y77)</f>
        <v>30</v>
      </c>
      <c r="AA77" s="62">
        <f>Q77-Z77</f>
        <v>12795</v>
      </c>
      <c r="AB77" s="69" t="s">
        <v>199</v>
      </c>
      <c r="AC77" s="64" t="s">
        <v>130</v>
      </c>
    </row>
    <row r="78" spans="1:29" ht="12.75">
      <c r="A78" s="60"/>
      <c r="B78" s="60"/>
      <c r="C78" s="66" t="s">
        <v>193</v>
      </c>
      <c r="D78" s="62"/>
      <c r="E78" s="60"/>
      <c r="F78" s="60"/>
      <c r="G78" s="60"/>
      <c r="H78" s="60"/>
      <c r="I78" s="60"/>
      <c r="J78" s="68"/>
      <c r="K78" s="60"/>
      <c r="L78" s="60"/>
      <c r="M78" s="60"/>
      <c r="N78" s="60"/>
      <c r="O78" s="60"/>
      <c r="P78" s="60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141"/>
      <c r="AC78" s="141"/>
    </row>
    <row r="79" spans="1:29" ht="25.5" customHeight="1">
      <c r="A79" s="60">
        <v>61</v>
      </c>
      <c r="B79" s="60">
        <v>1</v>
      </c>
      <c r="C79" s="67" t="s">
        <v>194</v>
      </c>
      <c r="D79" s="62" t="s">
        <v>47</v>
      </c>
      <c r="E79" s="60">
        <v>14500</v>
      </c>
      <c r="F79" s="60">
        <v>14500</v>
      </c>
      <c r="G79" s="60"/>
      <c r="H79" s="60"/>
      <c r="I79" s="60"/>
      <c r="J79" s="68">
        <v>30</v>
      </c>
      <c r="K79" s="60"/>
      <c r="L79" s="60"/>
      <c r="M79" s="60"/>
      <c r="N79" s="60"/>
      <c r="O79" s="60"/>
      <c r="P79" s="60"/>
      <c r="Q79" s="62">
        <f>ROUNDUP(F79/J$5*J79+N79,0)</f>
        <v>14500</v>
      </c>
      <c r="R79" s="62"/>
      <c r="S79" s="62"/>
      <c r="T79" s="62">
        <f>IF(Q79&gt;20001,200,IF(Q79&gt;15001,150,IF(Q79&lt;15000,0,)))</f>
        <v>0</v>
      </c>
      <c r="U79" s="62">
        <f>IF(Q79,IF(1,30),IF(1,0))</f>
        <v>30</v>
      </c>
      <c r="V79" s="62"/>
      <c r="W79" s="62"/>
      <c r="X79" s="62"/>
      <c r="Y79" s="62"/>
      <c r="Z79" s="62">
        <f>SUM(R79:Y79)</f>
        <v>30</v>
      </c>
      <c r="AA79" s="62">
        <f>Q79-Z79</f>
        <v>14470</v>
      </c>
      <c r="AB79" s="140" t="s">
        <v>195</v>
      </c>
      <c r="AC79" s="141" t="s">
        <v>196</v>
      </c>
    </row>
    <row r="80" spans="1:29" ht="12.75">
      <c r="A80" s="60"/>
      <c r="B80" s="60"/>
      <c r="C80" s="66" t="s">
        <v>19</v>
      </c>
      <c r="D80" s="62"/>
      <c r="E80" s="60"/>
      <c r="F80" s="60"/>
      <c r="G80" s="60"/>
      <c r="H80" s="60"/>
      <c r="I80" s="60"/>
      <c r="J80" s="63"/>
      <c r="K80" s="60"/>
      <c r="L80" s="60"/>
      <c r="M80" s="60"/>
      <c r="N80" s="60"/>
      <c r="O80" s="60"/>
      <c r="P80" s="60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3"/>
      <c r="AC80" s="64"/>
    </row>
    <row r="81" spans="1:30" ht="25.5" customHeight="1">
      <c r="A81" s="60">
        <v>62</v>
      </c>
      <c r="B81" s="60">
        <v>1</v>
      </c>
      <c r="C81" s="67" t="s">
        <v>164</v>
      </c>
      <c r="D81" s="62" t="s">
        <v>47</v>
      </c>
      <c r="E81" s="60">
        <v>11500</v>
      </c>
      <c r="F81" s="60">
        <v>11500</v>
      </c>
      <c r="G81" s="60"/>
      <c r="H81" s="60"/>
      <c r="I81" s="60"/>
      <c r="J81" s="68">
        <v>30</v>
      </c>
      <c r="K81" s="60"/>
      <c r="L81" s="60"/>
      <c r="M81" s="60"/>
      <c r="N81" s="60"/>
      <c r="O81" s="60"/>
      <c r="P81" s="60"/>
      <c r="Q81" s="62">
        <f>ROUNDUP(F81/J$5*J81+N81,0)</f>
        <v>11500</v>
      </c>
      <c r="R81" s="62"/>
      <c r="S81" s="62"/>
      <c r="T81" s="62">
        <f>IF(Q81&gt;20001,200,IF(Q81&gt;15001,150,IF(Q81&lt;15000,0,)))</f>
        <v>0</v>
      </c>
      <c r="U81" s="62">
        <f t="shared" ref="U81" si="55">IF(Q81,IF(1,30),IF(1,0))</f>
        <v>30</v>
      </c>
      <c r="V81" s="62"/>
      <c r="W81" s="62"/>
      <c r="X81" s="62"/>
      <c r="Y81" s="62"/>
      <c r="Z81" s="62">
        <f t="shared" ref="Z81" si="56">SUM(R81:Y81)</f>
        <v>30</v>
      </c>
      <c r="AA81" s="62">
        <f t="shared" ref="AA81" si="57">Q81-Z81</f>
        <v>11470</v>
      </c>
      <c r="AB81" s="69" t="s">
        <v>165</v>
      </c>
      <c r="AC81" s="64" t="s">
        <v>35</v>
      </c>
    </row>
    <row r="82" spans="1:30" ht="12.75">
      <c r="A82" s="60"/>
      <c r="B82" s="60"/>
      <c r="C82" s="66" t="s">
        <v>219</v>
      </c>
      <c r="D82" s="62"/>
      <c r="E82" s="60"/>
      <c r="F82" s="60"/>
      <c r="G82" s="60"/>
      <c r="H82" s="60"/>
      <c r="I82" s="60"/>
      <c r="J82" s="63"/>
      <c r="K82" s="60"/>
      <c r="L82" s="60"/>
      <c r="M82" s="60"/>
      <c r="N82" s="60"/>
      <c r="O82" s="60"/>
      <c r="P82" s="60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3"/>
      <c r="AC82" s="64"/>
    </row>
    <row r="83" spans="1:30" ht="25.5" customHeight="1">
      <c r="A83" s="60">
        <v>63</v>
      </c>
      <c r="B83" s="60">
        <v>1</v>
      </c>
      <c r="C83" s="67" t="s">
        <v>220</v>
      </c>
      <c r="D83" s="62" t="s">
        <v>107</v>
      </c>
      <c r="E83" s="60">
        <v>12000</v>
      </c>
      <c r="F83" s="60">
        <v>12000</v>
      </c>
      <c r="G83" s="60"/>
      <c r="H83" s="60"/>
      <c r="I83" s="60"/>
      <c r="J83" s="68">
        <v>30</v>
      </c>
      <c r="K83" s="60"/>
      <c r="L83" s="60"/>
      <c r="M83" s="60"/>
      <c r="N83" s="60"/>
      <c r="O83" s="60"/>
      <c r="P83" s="60"/>
      <c r="Q83" s="62">
        <f>ROUNDUP(F83/J$5*J83+N83,0)</f>
        <v>12000</v>
      </c>
      <c r="R83" s="62"/>
      <c r="S83" s="62"/>
      <c r="T83" s="62">
        <f>IF(Q83&gt;20001,200,IF(Q83&gt;15001,150,IF(Q83&lt;15000,0,)))</f>
        <v>0</v>
      </c>
      <c r="U83" s="62">
        <f>IF(Q83,IF(1,30),IF(1,0))</f>
        <v>30</v>
      </c>
      <c r="V83" s="62"/>
      <c r="W83" s="62"/>
      <c r="X83" s="62"/>
      <c r="Y83" s="62"/>
      <c r="Z83" s="62">
        <f>SUM(R83:Y83)</f>
        <v>30</v>
      </c>
      <c r="AA83" s="62">
        <f>Q83-Z83</f>
        <v>11970</v>
      </c>
      <c r="AB83" s="90">
        <v>20508849936</v>
      </c>
      <c r="AC83" s="90" t="s">
        <v>221</v>
      </c>
    </row>
    <row r="84" spans="1:30" ht="12.75">
      <c r="A84" s="60"/>
      <c r="B84" s="60"/>
      <c r="C84" s="66" t="s">
        <v>175</v>
      </c>
      <c r="D84" s="62"/>
      <c r="E84" s="60"/>
      <c r="F84" s="60"/>
      <c r="G84" s="60"/>
      <c r="H84" s="60"/>
      <c r="I84" s="60"/>
      <c r="J84" s="63"/>
      <c r="K84" s="60"/>
      <c r="L84" s="60"/>
      <c r="M84" s="60"/>
      <c r="N84" s="60"/>
      <c r="O84" s="60"/>
      <c r="P84" s="60"/>
      <c r="Q84" s="62"/>
      <c r="R84" s="62"/>
      <c r="S84" s="144"/>
      <c r="T84" s="62"/>
      <c r="U84" s="62"/>
      <c r="V84" s="62"/>
      <c r="W84" s="62"/>
      <c r="X84" s="62"/>
      <c r="Y84" s="62"/>
      <c r="Z84" s="62"/>
      <c r="AA84" s="62"/>
      <c r="AB84" s="63"/>
      <c r="AC84" s="64"/>
    </row>
    <row r="85" spans="1:30" s="77" customFormat="1" ht="21.75" customHeight="1">
      <c r="A85" s="73">
        <v>64</v>
      </c>
      <c r="B85" s="73">
        <v>1</v>
      </c>
      <c r="C85" s="71" t="s">
        <v>176</v>
      </c>
      <c r="D85" s="72" t="s">
        <v>140</v>
      </c>
      <c r="E85" s="73">
        <v>16000</v>
      </c>
      <c r="F85" s="73">
        <v>16000</v>
      </c>
      <c r="G85" s="73"/>
      <c r="H85" s="73"/>
      <c r="I85" s="73"/>
      <c r="J85" s="74">
        <v>28</v>
      </c>
      <c r="K85" s="73"/>
      <c r="L85" s="73"/>
      <c r="M85" s="73"/>
      <c r="N85" s="73"/>
      <c r="O85" s="73"/>
      <c r="P85" s="73"/>
      <c r="Q85" s="72">
        <f t="shared" ref="Q85:Q89" si="58">ROUNDUP(F85/J$5*J85+N85,0)</f>
        <v>14934</v>
      </c>
      <c r="R85" s="72"/>
      <c r="S85" s="72"/>
      <c r="T85" s="72">
        <f t="shared" ref="T85" si="59">IF(Q85&gt;20001,200,IF(Q85&gt;15001,150,IF(Q85&lt;15000,0,)))</f>
        <v>0</v>
      </c>
      <c r="U85" s="72">
        <f t="shared" ref="U85" si="60">IF(Q85,IF(1,30),IF(1,0))</f>
        <v>30</v>
      </c>
      <c r="V85" s="72"/>
      <c r="W85" s="72"/>
      <c r="X85" s="72"/>
      <c r="Y85" s="72"/>
      <c r="Z85" s="72">
        <f t="shared" ref="Z85" si="61">SUM(R85:Y85)</f>
        <v>30</v>
      </c>
      <c r="AA85" s="72">
        <f t="shared" ref="AA85" si="62">Q85-Z85</f>
        <v>14904</v>
      </c>
      <c r="AB85" s="145" t="s">
        <v>177</v>
      </c>
      <c r="AC85" s="76" t="s">
        <v>53</v>
      </c>
    </row>
    <row r="86" spans="1:30" ht="21.75" customHeight="1">
      <c r="A86" s="60">
        <v>65</v>
      </c>
      <c r="B86" s="60">
        <v>2</v>
      </c>
      <c r="C86" s="135" t="s">
        <v>183</v>
      </c>
      <c r="D86" s="136" t="s">
        <v>140</v>
      </c>
      <c r="E86" s="60">
        <v>12000</v>
      </c>
      <c r="F86" s="60">
        <v>12000</v>
      </c>
      <c r="G86" s="60"/>
      <c r="H86" s="60"/>
      <c r="I86" s="60"/>
      <c r="J86" s="68">
        <v>30</v>
      </c>
      <c r="K86" s="60"/>
      <c r="L86" s="60"/>
      <c r="M86" s="60"/>
      <c r="N86" s="60"/>
      <c r="O86" s="60"/>
      <c r="P86" s="60"/>
      <c r="Q86" s="62">
        <f>ROUNDUP(F86/J$5*J86+N86,0)</f>
        <v>12000</v>
      </c>
      <c r="R86" s="62"/>
      <c r="S86" s="62"/>
      <c r="T86" s="62">
        <f>IF(Q86&gt;20001,200,IF(Q86&gt;15001,150,IF(Q86&lt;15000,0,)))</f>
        <v>0</v>
      </c>
      <c r="U86" s="62">
        <f>IF(Q86,IF(1,30),IF(1,0))</f>
        <v>30</v>
      </c>
      <c r="V86" s="62"/>
      <c r="W86" s="62"/>
      <c r="X86" s="62"/>
      <c r="Y86" s="62"/>
      <c r="Z86" s="62">
        <f>SUM(R86:Y86)</f>
        <v>30</v>
      </c>
      <c r="AA86" s="62">
        <f>Q86-Z86</f>
        <v>11970</v>
      </c>
      <c r="AB86" s="146" t="s">
        <v>184</v>
      </c>
      <c r="AC86" s="147" t="s">
        <v>185</v>
      </c>
    </row>
    <row r="87" spans="1:30" ht="21.75" customHeight="1">
      <c r="A87" s="73">
        <v>66</v>
      </c>
      <c r="B87" s="73">
        <v>3</v>
      </c>
      <c r="C87" s="135" t="s">
        <v>180</v>
      </c>
      <c r="D87" s="136" t="s">
        <v>140</v>
      </c>
      <c r="E87" s="107">
        <v>12000</v>
      </c>
      <c r="F87" s="107">
        <v>12000</v>
      </c>
      <c r="G87" s="107"/>
      <c r="H87" s="107"/>
      <c r="I87" s="107"/>
      <c r="J87" s="68">
        <v>29</v>
      </c>
      <c r="K87" s="107"/>
      <c r="L87" s="107"/>
      <c r="M87" s="107"/>
      <c r="N87" s="107"/>
      <c r="O87" s="107"/>
      <c r="P87" s="107"/>
      <c r="Q87" s="136">
        <f>ROUNDUP(F87/J$5*J87+N87,0)</f>
        <v>11600</v>
      </c>
      <c r="R87" s="136"/>
      <c r="S87" s="136"/>
      <c r="T87" s="136">
        <f>IF(Q87&gt;20001,200,IF(Q87&gt;15001,150,IF(Q87&lt;15000,0,)))</f>
        <v>0</v>
      </c>
      <c r="U87" s="136">
        <f>IF(Q87,IF(1,30),IF(1,0))</f>
        <v>30</v>
      </c>
      <c r="V87" s="136"/>
      <c r="W87" s="136"/>
      <c r="X87" s="136"/>
      <c r="Y87" s="136"/>
      <c r="Z87" s="136">
        <f>SUM(R87:Y87)</f>
        <v>30</v>
      </c>
      <c r="AA87" s="136">
        <f>Q87-Z87</f>
        <v>11570</v>
      </c>
      <c r="AB87" s="146" t="s">
        <v>181</v>
      </c>
      <c r="AC87" s="147" t="s">
        <v>182</v>
      </c>
    </row>
    <row r="88" spans="1:30" ht="21.75" customHeight="1">
      <c r="A88" s="60">
        <v>67</v>
      </c>
      <c r="B88" s="60">
        <v>4</v>
      </c>
      <c r="C88" s="71" t="s">
        <v>178</v>
      </c>
      <c r="D88" s="62" t="s">
        <v>140</v>
      </c>
      <c r="E88" s="73">
        <v>12000</v>
      </c>
      <c r="F88" s="73">
        <v>12000</v>
      </c>
      <c r="G88" s="73"/>
      <c r="H88" s="73"/>
      <c r="I88" s="73"/>
      <c r="J88" s="68">
        <v>28</v>
      </c>
      <c r="K88" s="73"/>
      <c r="L88" s="73"/>
      <c r="M88" s="73"/>
      <c r="N88" s="73"/>
      <c r="O88" s="73"/>
      <c r="P88" s="73"/>
      <c r="Q88" s="72">
        <f>ROUNDUP(F88/J$5*J88+N88,0)</f>
        <v>11200</v>
      </c>
      <c r="R88" s="72"/>
      <c r="S88" s="62"/>
      <c r="T88" s="72">
        <f t="shared" ref="T88" si="63">IF(Q88&gt;20001,200,IF(Q88&gt;15001,150,IF(Q88&lt;15000,0,)))</f>
        <v>0</v>
      </c>
      <c r="U88" s="72">
        <f t="shared" ref="U88" si="64">IF(Q88,IF(1,30),IF(1,0))</f>
        <v>30</v>
      </c>
      <c r="V88" s="72"/>
      <c r="W88" s="72"/>
      <c r="X88" s="72"/>
      <c r="Y88" s="72">
        <v>1666</v>
      </c>
      <c r="Z88" s="72">
        <f t="shared" ref="Z88" si="65">SUM(R88:Y88)</f>
        <v>1696</v>
      </c>
      <c r="AA88" s="72">
        <f t="shared" ref="AA88" si="66">Q88-Z88</f>
        <v>9504</v>
      </c>
      <c r="AB88" s="142" t="s">
        <v>179</v>
      </c>
      <c r="AC88" s="64" t="s">
        <v>127</v>
      </c>
    </row>
    <row r="89" spans="1:30" ht="21.75" customHeight="1">
      <c r="A89" s="73">
        <v>68</v>
      </c>
      <c r="B89" s="73">
        <v>5</v>
      </c>
      <c r="C89" s="71" t="s">
        <v>615</v>
      </c>
      <c r="D89" s="72" t="s">
        <v>47</v>
      </c>
      <c r="E89" s="73">
        <v>12000</v>
      </c>
      <c r="F89" s="73">
        <v>12000</v>
      </c>
      <c r="G89" s="73"/>
      <c r="H89" s="73"/>
      <c r="I89" s="73"/>
      <c r="J89" s="68">
        <v>26</v>
      </c>
      <c r="K89" s="73"/>
      <c r="L89" s="73"/>
      <c r="M89" s="73"/>
      <c r="N89" s="73"/>
      <c r="O89" s="73"/>
      <c r="P89" s="73"/>
      <c r="Q89" s="72">
        <f t="shared" si="58"/>
        <v>10400</v>
      </c>
      <c r="R89" s="72"/>
      <c r="S89" s="62"/>
      <c r="T89" s="72">
        <f t="shared" ref="T89" si="67">IF(Q89&gt;20001,200,IF(Q89&gt;15001,150,IF(Q89&lt;15000,0,)))</f>
        <v>0</v>
      </c>
      <c r="U89" s="72">
        <f t="shared" ref="U89" si="68">IF(Q89,IF(1,30),IF(1,0))</f>
        <v>30</v>
      </c>
      <c r="V89" s="72"/>
      <c r="W89" s="72"/>
      <c r="X89" s="72"/>
      <c r="Y89" s="72"/>
      <c r="Z89" s="72">
        <f t="shared" ref="Z89" si="69">SUM(R89:Y89)</f>
        <v>30</v>
      </c>
      <c r="AA89" s="72">
        <f t="shared" ref="AA89" si="70">Q89-Z89</f>
        <v>10370</v>
      </c>
      <c r="AB89" s="142" t="s">
        <v>618</v>
      </c>
      <c r="AC89" s="64" t="s">
        <v>617</v>
      </c>
      <c r="AD89" s="55" t="s">
        <v>619</v>
      </c>
    </row>
    <row r="90" spans="1:30" ht="21.75" customHeight="1">
      <c r="A90" s="60">
        <v>69</v>
      </c>
      <c r="B90" s="60">
        <v>6</v>
      </c>
      <c r="C90" s="71" t="s">
        <v>602</v>
      </c>
      <c r="D90" s="72" t="s">
        <v>603</v>
      </c>
      <c r="E90" s="73">
        <v>10000</v>
      </c>
      <c r="F90" s="73">
        <v>10000</v>
      </c>
      <c r="G90" s="73"/>
      <c r="H90" s="73"/>
      <c r="I90" s="73"/>
      <c r="J90" s="68">
        <v>30</v>
      </c>
      <c r="K90" s="73"/>
      <c r="L90" s="73"/>
      <c r="M90" s="73"/>
      <c r="N90" s="73"/>
      <c r="O90" s="73"/>
      <c r="P90" s="73"/>
      <c r="Q90" s="72">
        <f t="shared" ref="Q90" si="71">ROUNDUP(F90/J$5*J90+N90,0)</f>
        <v>10000</v>
      </c>
      <c r="R90" s="72"/>
      <c r="S90" s="62"/>
      <c r="T90" s="72">
        <f t="shared" ref="T90" si="72">IF(Q90&gt;20001,200,IF(Q90&gt;15001,150,IF(Q90&lt;15000,0,)))</f>
        <v>0</v>
      </c>
      <c r="U90" s="72">
        <f t="shared" ref="U90" si="73">IF(Q90,IF(1,30),IF(1,0))</f>
        <v>30</v>
      </c>
      <c r="V90" s="72"/>
      <c r="W90" s="72"/>
      <c r="X90" s="72"/>
      <c r="Y90" s="72"/>
      <c r="Z90" s="72">
        <f t="shared" ref="Z90" si="74">SUM(R90:Y90)</f>
        <v>30</v>
      </c>
      <c r="AA90" s="72">
        <f t="shared" ref="AA90" si="75">Q90-Z90</f>
        <v>9970</v>
      </c>
      <c r="AB90" s="142" t="s">
        <v>605</v>
      </c>
      <c r="AC90" s="64" t="s">
        <v>604</v>
      </c>
    </row>
    <row r="91" spans="1:30" ht="12.75">
      <c r="A91" s="60"/>
      <c r="B91" s="60"/>
      <c r="C91" s="66" t="s">
        <v>186</v>
      </c>
      <c r="D91" s="62"/>
      <c r="E91" s="60"/>
      <c r="F91" s="60"/>
      <c r="G91" s="60"/>
      <c r="H91" s="60"/>
      <c r="I91" s="60"/>
      <c r="J91" s="68"/>
      <c r="K91" s="60"/>
      <c r="L91" s="60"/>
      <c r="M91" s="60"/>
      <c r="N91" s="60"/>
      <c r="O91" s="60"/>
      <c r="P91" s="60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141"/>
      <c r="AC91" s="141"/>
    </row>
    <row r="92" spans="1:30" ht="25.5" customHeight="1">
      <c r="A92" s="60">
        <v>70</v>
      </c>
      <c r="B92" s="60">
        <v>1</v>
      </c>
      <c r="C92" s="67" t="s">
        <v>187</v>
      </c>
      <c r="D92" s="62" t="s">
        <v>47</v>
      </c>
      <c r="E92" s="60">
        <v>14500</v>
      </c>
      <c r="F92" s="60">
        <v>14500</v>
      </c>
      <c r="G92" s="60"/>
      <c r="H92" s="60"/>
      <c r="I92" s="60"/>
      <c r="J92" s="68">
        <v>30</v>
      </c>
      <c r="K92" s="60"/>
      <c r="L92" s="60"/>
      <c r="M92" s="60"/>
      <c r="N92" s="60"/>
      <c r="O92" s="60"/>
      <c r="P92" s="60"/>
      <c r="Q92" s="62">
        <f>ROUNDUP(F92/J$5*J92+N92,0)</f>
        <v>14500</v>
      </c>
      <c r="R92" s="62"/>
      <c r="S92" s="62"/>
      <c r="T92" s="62">
        <f>IF(Q92&gt;20001,200,IF(Q92&gt;15001,150,IF(Q92&lt;15000,0,)))</f>
        <v>0</v>
      </c>
      <c r="U92" s="62">
        <f>IF(Q92,IF(1,30),IF(1,0))</f>
        <v>30</v>
      </c>
      <c r="V92" s="62"/>
      <c r="W92" s="62"/>
      <c r="X92" s="62"/>
      <c r="Y92" s="62"/>
      <c r="Z92" s="62">
        <f>SUM(R92:Y92)</f>
        <v>30</v>
      </c>
      <c r="AA92" s="62">
        <f>Q92-Z92</f>
        <v>14470</v>
      </c>
      <c r="AB92" s="69" t="s">
        <v>188</v>
      </c>
      <c r="AC92" s="64" t="s">
        <v>189</v>
      </c>
    </row>
    <row r="93" spans="1:30" ht="25.5" customHeight="1">
      <c r="A93" s="60">
        <v>71</v>
      </c>
      <c r="B93" s="60">
        <v>2</v>
      </c>
      <c r="C93" s="67" t="s">
        <v>190</v>
      </c>
      <c r="D93" s="62" t="s">
        <v>191</v>
      </c>
      <c r="E93" s="60">
        <v>25000</v>
      </c>
      <c r="F93" s="60">
        <v>25000</v>
      </c>
      <c r="G93" s="60"/>
      <c r="H93" s="60"/>
      <c r="I93" s="60"/>
      <c r="J93" s="68">
        <v>30</v>
      </c>
      <c r="K93" s="60"/>
      <c r="L93" s="60"/>
      <c r="M93" s="60"/>
      <c r="N93" s="60"/>
      <c r="O93" s="60"/>
      <c r="P93" s="60"/>
      <c r="Q93" s="62">
        <f>ROUNDUP(F93/J$5*J93+N93,0)</f>
        <v>25000</v>
      </c>
      <c r="R93" s="62"/>
      <c r="S93" s="62"/>
      <c r="T93" s="62">
        <f>IF(Q93&gt;20001,200,IF(Q93&gt;15001,150,IF(Q93&lt;15000,0,)))</f>
        <v>200</v>
      </c>
      <c r="U93" s="62">
        <f>IF(Q93,IF(1,30),IF(1,0))</f>
        <v>30</v>
      </c>
      <c r="V93" s="62"/>
      <c r="W93" s="62"/>
      <c r="X93" s="62"/>
      <c r="Y93" s="62"/>
      <c r="Z93" s="62">
        <f>SUM(R93:Y93)</f>
        <v>230</v>
      </c>
      <c r="AA93" s="62">
        <f>Q93-Z93</f>
        <v>24770</v>
      </c>
      <c r="AB93" s="69" t="s">
        <v>192</v>
      </c>
      <c r="AC93" s="64" t="s">
        <v>35</v>
      </c>
    </row>
    <row r="94" spans="1:30" ht="12.75">
      <c r="A94" s="60"/>
      <c r="B94" s="60"/>
      <c r="C94" s="66" t="s">
        <v>146</v>
      </c>
      <c r="D94" s="62"/>
      <c r="E94" s="60"/>
      <c r="F94" s="60"/>
      <c r="G94" s="60"/>
      <c r="H94" s="60"/>
      <c r="I94" s="60"/>
      <c r="J94" s="63"/>
      <c r="K94" s="60"/>
      <c r="L94" s="60"/>
      <c r="M94" s="60"/>
      <c r="N94" s="60"/>
      <c r="O94" s="60"/>
      <c r="P94" s="60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3"/>
      <c r="AC94" s="64"/>
    </row>
    <row r="95" spans="1:30" ht="23.25" customHeight="1">
      <c r="A95" s="60">
        <v>72</v>
      </c>
      <c r="B95" s="60">
        <v>1</v>
      </c>
      <c r="C95" s="71" t="s">
        <v>147</v>
      </c>
      <c r="D95" s="72" t="s">
        <v>146</v>
      </c>
      <c r="E95" s="73">
        <v>17000</v>
      </c>
      <c r="F95" s="73">
        <v>17000</v>
      </c>
      <c r="G95" s="73"/>
      <c r="H95" s="73"/>
      <c r="I95" s="73"/>
      <c r="J95" s="74">
        <v>30</v>
      </c>
      <c r="K95" s="73"/>
      <c r="L95" s="73"/>
      <c r="M95" s="73"/>
      <c r="N95" s="73"/>
      <c r="O95" s="73"/>
      <c r="P95" s="73"/>
      <c r="Q95" s="72">
        <f>ROUNDUP(F95/J$5*J95+N95,0)</f>
        <v>17000</v>
      </c>
      <c r="R95" s="72"/>
      <c r="S95" s="72"/>
      <c r="T95" s="72">
        <f t="shared" ref="T95:T96" si="76">IF(Q95&gt;20001,200,IF(Q95&gt;15001,150,IF(Q95&lt;15000,0,)))</f>
        <v>150</v>
      </c>
      <c r="U95" s="72">
        <f t="shared" ref="U95:U96" si="77">IF(Q95,IF(1,30),IF(1,0))</f>
        <v>30</v>
      </c>
      <c r="V95" s="72"/>
      <c r="W95" s="72"/>
      <c r="X95" s="72"/>
      <c r="Y95" s="72"/>
      <c r="Z95" s="72">
        <f t="shared" ref="Z95:Z96" si="78">SUM(R95:Y95)</f>
        <v>180</v>
      </c>
      <c r="AA95" s="72">
        <f t="shared" ref="AA95:AA96" si="79">Q95-Z95</f>
        <v>16820</v>
      </c>
      <c r="AB95" s="75" t="s">
        <v>148</v>
      </c>
      <c r="AC95" s="76" t="s">
        <v>149</v>
      </c>
    </row>
    <row r="96" spans="1:30" ht="23.25" customHeight="1">
      <c r="A96" s="60">
        <v>73</v>
      </c>
      <c r="B96" s="60">
        <v>2</v>
      </c>
      <c r="C96" s="71" t="s">
        <v>150</v>
      </c>
      <c r="D96" s="72" t="s">
        <v>146</v>
      </c>
      <c r="E96" s="73">
        <v>17000</v>
      </c>
      <c r="F96" s="73">
        <v>17000</v>
      </c>
      <c r="G96" s="73"/>
      <c r="H96" s="73"/>
      <c r="I96" s="73"/>
      <c r="J96" s="74">
        <v>30</v>
      </c>
      <c r="K96" s="73"/>
      <c r="L96" s="73"/>
      <c r="M96" s="73"/>
      <c r="N96" s="73"/>
      <c r="O96" s="73"/>
      <c r="P96" s="73"/>
      <c r="Q96" s="72">
        <f>ROUNDUP(F96/J$5*J96+N96,0)</f>
        <v>17000</v>
      </c>
      <c r="R96" s="72"/>
      <c r="S96" s="72"/>
      <c r="T96" s="72">
        <f t="shared" si="76"/>
        <v>150</v>
      </c>
      <c r="U96" s="72">
        <f t="shared" si="77"/>
        <v>30</v>
      </c>
      <c r="V96" s="72"/>
      <c r="W96" s="72"/>
      <c r="X96" s="72"/>
      <c r="Y96" s="72"/>
      <c r="Z96" s="72">
        <f t="shared" si="78"/>
        <v>180</v>
      </c>
      <c r="AA96" s="72">
        <f t="shared" si="79"/>
        <v>16820</v>
      </c>
      <c r="AB96" s="75" t="s">
        <v>151</v>
      </c>
      <c r="AC96" s="76" t="s">
        <v>35</v>
      </c>
    </row>
    <row r="97" spans="1:35" ht="12.75">
      <c r="A97" s="64"/>
      <c r="B97" s="60"/>
      <c r="C97" s="66" t="s">
        <v>222</v>
      </c>
      <c r="D97" s="62"/>
      <c r="E97" s="60"/>
      <c r="F97" s="60"/>
      <c r="G97" s="60"/>
      <c r="H97" s="60"/>
      <c r="I97" s="60"/>
      <c r="J97" s="68"/>
      <c r="K97" s="60"/>
      <c r="L97" s="60"/>
      <c r="M97" s="60"/>
      <c r="N97" s="60"/>
      <c r="O97" s="60"/>
      <c r="P97" s="60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3"/>
      <c r="AC97" s="64"/>
    </row>
    <row r="98" spans="1:35" ht="25.5" customHeight="1">
      <c r="A98" s="64">
        <v>74</v>
      </c>
      <c r="B98" s="60">
        <v>1</v>
      </c>
      <c r="C98" s="148" t="s">
        <v>223</v>
      </c>
      <c r="D98" s="149" t="s">
        <v>224</v>
      </c>
      <c r="E98" s="107">
        <v>12500</v>
      </c>
      <c r="F98" s="107">
        <v>12500</v>
      </c>
      <c r="G98" s="150"/>
      <c r="H98" s="150"/>
      <c r="I98" s="150"/>
      <c r="J98" s="68">
        <v>30</v>
      </c>
      <c r="K98" s="150"/>
      <c r="L98" s="150"/>
      <c r="M98" s="150"/>
      <c r="N98" s="150"/>
      <c r="O98" s="150"/>
      <c r="P98" s="150"/>
      <c r="Q98" s="62">
        <f t="shared" ref="Q98:Q105" si="80">ROUNDUP(F98/J$5*J98+N98,0)</f>
        <v>12500</v>
      </c>
      <c r="R98" s="62"/>
      <c r="S98" s="150"/>
      <c r="T98" s="150">
        <f t="shared" ref="T98:T105" si="81">IF(Q98&gt;20001,200,IF(Q98&gt;15001,150,IF(Q98&lt;15000,0,)))</f>
        <v>0</v>
      </c>
      <c r="U98" s="107">
        <f t="shared" ref="U98:U105" si="82">IF(Q98,IF(1,30),IF(1,0))</f>
        <v>30</v>
      </c>
      <c r="V98" s="150"/>
      <c r="W98" s="150"/>
      <c r="X98" s="150"/>
      <c r="Y98" s="150"/>
      <c r="Z98" s="107">
        <f t="shared" ref="Z98" si="83">SUM(R98:Y98)</f>
        <v>30</v>
      </c>
      <c r="AA98" s="107">
        <f t="shared" ref="AA98:AA105" si="84">Q98-Z98</f>
        <v>12470</v>
      </c>
      <c r="AB98" s="149" t="s">
        <v>225</v>
      </c>
      <c r="AC98" s="149" t="s">
        <v>226</v>
      </c>
    </row>
    <row r="99" spans="1:35" s="70" customFormat="1" ht="27.6" customHeight="1">
      <c r="A99" s="64">
        <v>75</v>
      </c>
      <c r="B99" s="60">
        <v>2</v>
      </c>
      <c r="C99" s="120" t="s">
        <v>227</v>
      </c>
      <c r="D99" s="148" t="s">
        <v>228</v>
      </c>
      <c r="E99" s="111">
        <v>14000</v>
      </c>
      <c r="F99" s="111">
        <v>14000</v>
      </c>
      <c r="G99" s="112"/>
      <c r="H99" s="112"/>
      <c r="I99" s="112"/>
      <c r="J99" s="112">
        <v>30</v>
      </c>
      <c r="K99" s="112"/>
      <c r="L99" s="112"/>
      <c r="M99" s="112"/>
      <c r="N99" s="112"/>
      <c r="O99" s="112"/>
      <c r="P99" s="112"/>
      <c r="Q99" s="111">
        <f t="shared" si="80"/>
        <v>14000</v>
      </c>
      <c r="R99" s="111"/>
      <c r="S99" s="111"/>
      <c r="T99" s="111">
        <f t="shared" si="81"/>
        <v>0</v>
      </c>
      <c r="U99" s="112">
        <f t="shared" si="82"/>
        <v>30</v>
      </c>
      <c r="V99" s="112"/>
      <c r="W99" s="112"/>
      <c r="X99" s="112"/>
      <c r="Y99" s="112"/>
      <c r="Z99" s="111">
        <f t="shared" ref="Z99:Z103" si="85">SUM(R99:V99)</f>
        <v>30</v>
      </c>
      <c r="AA99" s="111">
        <f t="shared" si="84"/>
        <v>13970</v>
      </c>
      <c r="AB99" s="69" t="s">
        <v>229</v>
      </c>
      <c r="AC99" s="69" t="s">
        <v>35</v>
      </c>
    </row>
    <row r="100" spans="1:35" s="70" customFormat="1" ht="27.6" customHeight="1">
      <c r="A100" s="64">
        <v>76</v>
      </c>
      <c r="B100" s="60">
        <v>3</v>
      </c>
      <c r="C100" s="120" t="s">
        <v>230</v>
      </c>
      <c r="D100" s="148" t="s">
        <v>224</v>
      </c>
      <c r="E100" s="111">
        <v>23000</v>
      </c>
      <c r="F100" s="111">
        <v>23000</v>
      </c>
      <c r="G100" s="112"/>
      <c r="H100" s="112"/>
      <c r="I100" s="112"/>
      <c r="J100" s="112">
        <v>30</v>
      </c>
      <c r="K100" s="112"/>
      <c r="L100" s="112"/>
      <c r="M100" s="112"/>
      <c r="N100" s="112"/>
      <c r="O100" s="112"/>
      <c r="P100" s="112"/>
      <c r="Q100" s="111">
        <f t="shared" si="80"/>
        <v>23000</v>
      </c>
      <c r="R100" s="111"/>
      <c r="S100" s="111"/>
      <c r="T100" s="111">
        <f t="shared" si="81"/>
        <v>200</v>
      </c>
      <c r="U100" s="112">
        <f t="shared" si="82"/>
        <v>30</v>
      </c>
      <c r="V100" s="112"/>
      <c r="W100" s="112"/>
      <c r="X100" s="112"/>
      <c r="Y100" s="112"/>
      <c r="Z100" s="111">
        <f t="shared" si="85"/>
        <v>230</v>
      </c>
      <c r="AA100" s="111">
        <f t="shared" si="84"/>
        <v>22770</v>
      </c>
      <c r="AB100" s="69" t="s">
        <v>231</v>
      </c>
      <c r="AC100" s="69" t="s">
        <v>232</v>
      </c>
    </row>
    <row r="101" spans="1:35" s="70" customFormat="1" ht="27.6" customHeight="1">
      <c r="A101" s="64">
        <v>77</v>
      </c>
      <c r="B101" s="60">
        <v>4</v>
      </c>
      <c r="C101" s="120" t="s">
        <v>233</v>
      </c>
      <c r="D101" s="148" t="s">
        <v>224</v>
      </c>
      <c r="E101" s="111">
        <v>19000</v>
      </c>
      <c r="F101" s="111">
        <v>19000</v>
      </c>
      <c r="G101" s="112"/>
      <c r="H101" s="112"/>
      <c r="I101" s="112"/>
      <c r="J101" s="112">
        <v>30</v>
      </c>
      <c r="K101" s="112"/>
      <c r="L101" s="112"/>
      <c r="M101" s="112"/>
      <c r="N101" s="112"/>
      <c r="O101" s="112"/>
      <c r="P101" s="112"/>
      <c r="Q101" s="111">
        <f t="shared" si="80"/>
        <v>19000</v>
      </c>
      <c r="R101" s="111"/>
      <c r="S101" s="111"/>
      <c r="T101" s="111">
        <f t="shared" si="81"/>
        <v>150</v>
      </c>
      <c r="U101" s="112">
        <f t="shared" si="82"/>
        <v>30</v>
      </c>
      <c r="V101" s="112"/>
      <c r="W101" s="112"/>
      <c r="X101" s="112"/>
      <c r="Y101" s="112"/>
      <c r="Z101" s="111">
        <f t="shared" si="85"/>
        <v>180</v>
      </c>
      <c r="AA101" s="111">
        <f t="shared" si="84"/>
        <v>18820</v>
      </c>
      <c r="AB101" s="69" t="s">
        <v>234</v>
      </c>
      <c r="AC101" s="69" t="s">
        <v>235</v>
      </c>
    </row>
    <row r="102" spans="1:35" s="70" customFormat="1" ht="27.6" customHeight="1">
      <c r="A102" s="64">
        <v>78</v>
      </c>
      <c r="B102" s="60">
        <v>5</v>
      </c>
      <c r="C102" s="120" t="s">
        <v>236</v>
      </c>
      <c r="D102" s="148" t="s">
        <v>146</v>
      </c>
      <c r="E102" s="111">
        <v>25000</v>
      </c>
      <c r="F102" s="111">
        <v>25000</v>
      </c>
      <c r="G102" s="112"/>
      <c r="H102" s="112"/>
      <c r="I102" s="112"/>
      <c r="J102" s="112">
        <v>19.5</v>
      </c>
      <c r="K102" s="112"/>
      <c r="L102" s="112"/>
      <c r="M102" s="112"/>
      <c r="N102" s="112"/>
      <c r="O102" s="112"/>
      <c r="P102" s="112"/>
      <c r="Q102" s="111">
        <f t="shared" si="80"/>
        <v>16250</v>
      </c>
      <c r="R102" s="111"/>
      <c r="S102" s="111"/>
      <c r="T102" s="111">
        <f t="shared" si="81"/>
        <v>150</v>
      </c>
      <c r="U102" s="112">
        <f t="shared" si="82"/>
        <v>30</v>
      </c>
      <c r="V102" s="112"/>
      <c r="W102" s="112"/>
      <c r="X102" s="112"/>
      <c r="Y102" s="112"/>
      <c r="Z102" s="111">
        <f t="shared" si="85"/>
        <v>180</v>
      </c>
      <c r="AA102" s="111">
        <f t="shared" si="84"/>
        <v>16070</v>
      </c>
      <c r="AB102" s="69" t="s">
        <v>237</v>
      </c>
      <c r="AC102" s="69" t="s">
        <v>238</v>
      </c>
    </row>
    <row r="103" spans="1:35" s="70" customFormat="1" ht="27.6" customHeight="1">
      <c r="A103" s="64">
        <v>79</v>
      </c>
      <c r="B103" s="60">
        <v>6</v>
      </c>
      <c r="C103" s="120" t="s">
        <v>239</v>
      </c>
      <c r="D103" s="148" t="s">
        <v>146</v>
      </c>
      <c r="E103" s="111">
        <v>16000</v>
      </c>
      <c r="F103" s="111">
        <v>16000</v>
      </c>
      <c r="G103" s="112"/>
      <c r="H103" s="112"/>
      <c r="I103" s="112"/>
      <c r="J103" s="112">
        <v>30</v>
      </c>
      <c r="K103" s="112"/>
      <c r="L103" s="112"/>
      <c r="M103" s="112"/>
      <c r="N103" s="112"/>
      <c r="O103" s="112"/>
      <c r="P103" s="112"/>
      <c r="Q103" s="111">
        <f t="shared" si="80"/>
        <v>16000</v>
      </c>
      <c r="R103" s="111"/>
      <c r="S103" s="111"/>
      <c r="T103" s="111">
        <f t="shared" si="81"/>
        <v>150</v>
      </c>
      <c r="U103" s="112">
        <f t="shared" si="82"/>
        <v>30</v>
      </c>
      <c r="V103" s="112"/>
      <c r="W103" s="112"/>
      <c r="X103" s="112"/>
      <c r="Y103" s="112"/>
      <c r="Z103" s="111">
        <f t="shared" si="85"/>
        <v>180</v>
      </c>
      <c r="AA103" s="111">
        <f t="shared" si="84"/>
        <v>15820</v>
      </c>
      <c r="AB103" s="69" t="s">
        <v>240</v>
      </c>
      <c r="AC103" s="69" t="s">
        <v>241</v>
      </c>
    </row>
    <row r="104" spans="1:35" ht="35.25" customHeight="1">
      <c r="A104" s="64">
        <v>80</v>
      </c>
      <c r="B104" s="60">
        <v>7</v>
      </c>
      <c r="C104" s="151" t="s">
        <v>590</v>
      </c>
      <c r="D104" s="152" t="s">
        <v>591</v>
      </c>
      <c r="E104" s="62">
        <v>20000</v>
      </c>
      <c r="F104" s="62">
        <v>20000</v>
      </c>
      <c r="G104" s="60"/>
      <c r="H104" s="62"/>
      <c r="I104" s="62"/>
      <c r="J104" s="68">
        <v>30</v>
      </c>
      <c r="K104" s="60"/>
      <c r="L104" s="60"/>
      <c r="M104" s="60"/>
      <c r="N104" s="60"/>
      <c r="O104" s="60"/>
      <c r="P104" s="60"/>
      <c r="Q104" s="62">
        <f t="shared" si="80"/>
        <v>20000</v>
      </c>
      <c r="R104" s="62"/>
      <c r="S104" s="62"/>
      <c r="T104" s="62">
        <f t="shared" si="81"/>
        <v>150</v>
      </c>
      <c r="U104" s="62">
        <f t="shared" si="82"/>
        <v>30</v>
      </c>
      <c r="V104" s="62">
        <v>0</v>
      </c>
      <c r="W104" s="62"/>
      <c r="X104" s="62"/>
      <c r="Y104" s="62"/>
      <c r="Z104" s="62">
        <f t="shared" ref="Z104:Z105" si="86">SUM(R104:Y104)</f>
        <v>180</v>
      </c>
      <c r="AA104" s="62">
        <f t="shared" si="84"/>
        <v>19820</v>
      </c>
      <c r="AB104" s="69" t="s">
        <v>597</v>
      </c>
      <c r="AC104" s="64" t="s">
        <v>35</v>
      </c>
    </row>
    <row r="105" spans="1:35" ht="35.25" customHeight="1">
      <c r="A105" s="64">
        <v>81</v>
      </c>
      <c r="B105" s="60">
        <v>8</v>
      </c>
      <c r="C105" s="153" t="s">
        <v>620</v>
      </c>
      <c r="D105" s="149" t="s">
        <v>224</v>
      </c>
      <c r="E105" s="62">
        <v>10000</v>
      </c>
      <c r="F105" s="62">
        <v>10000</v>
      </c>
      <c r="G105" s="60"/>
      <c r="H105" s="62"/>
      <c r="I105" s="62"/>
      <c r="J105" s="68">
        <v>19</v>
      </c>
      <c r="K105" s="60"/>
      <c r="L105" s="60"/>
      <c r="M105" s="60"/>
      <c r="N105" s="60"/>
      <c r="O105" s="60"/>
      <c r="P105" s="60"/>
      <c r="Q105" s="62">
        <f t="shared" si="80"/>
        <v>6334</v>
      </c>
      <c r="R105" s="62"/>
      <c r="S105" s="62"/>
      <c r="T105" s="62">
        <f t="shared" si="81"/>
        <v>0</v>
      </c>
      <c r="U105" s="62">
        <f t="shared" si="82"/>
        <v>30</v>
      </c>
      <c r="V105" s="62"/>
      <c r="W105" s="62"/>
      <c r="X105" s="62"/>
      <c r="Y105" s="62"/>
      <c r="Z105" s="62">
        <f t="shared" si="86"/>
        <v>30</v>
      </c>
      <c r="AA105" s="62">
        <f t="shared" si="84"/>
        <v>6304</v>
      </c>
      <c r="AB105" s="69" t="s">
        <v>622</v>
      </c>
      <c r="AC105" s="64" t="s">
        <v>621</v>
      </c>
      <c r="AD105" s="55" t="s">
        <v>623</v>
      </c>
    </row>
    <row r="106" spans="1:35" ht="30" customHeight="1">
      <c r="A106" s="65"/>
      <c r="B106" s="65"/>
      <c r="C106" s="61" t="s">
        <v>254</v>
      </c>
      <c r="D106" s="144"/>
      <c r="E106" s="65">
        <f>SUM(E6:E105)</f>
        <v>1737500</v>
      </c>
      <c r="F106" s="65">
        <f>SUM(F6:F105)</f>
        <v>1737500</v>
      </c>
      <c r="G106" s="65">
        <f>SUM(G6:G104)</f>
        <v>0</v>
      </c>
      <c r="H106" s="65">
        <f>SUM(H6:H104)</f>
        <v>0</v>
      </c>
      <c r="I106" s="65">
        <f>SUM(I6:I104)</f>
        <v>0</v>
      </c>
      <c r="J106" s="65"/>
      <c r="K106" s="65">
        <f>SUM(K6:K104)</f>
        <v>0</v>
      </c>
      <c r="L106" s="65">
        <f>SUM(L6:L104)</f>
        <v>0</v>
      </c>
      <c r="M106" s="65">
        <f>SUM(M6:M104)</f>
        <v>0</v>
      </c>
      <c r="N106" s="65">
        <f t="shared" ref="N106:AA106" si="87">SUM(N6:N105)</f>
        <v>-27066</v>
      </c>
      <c r="O106" s="65">
        <f t="shared" si="87"/>
        <v>0</v>
      </c>
      <c r="P106" s="65">
        <f t="shared" si="87"/>
        <v>0</v>
      </c>
      <c r="Q106" s="65">
        <f t="shared" si="87"/>
        <v>1640657</v>
      </c>
      <c r="R106" s="65">
        <f t="shared" si="87"/>
        <v>4920</v>
      </c>
      <c r="S106" s="65">
        <f t="shared" si="87"/>
        <v>0</v>
      </c>
      <c r="T106" s="65">
        <f t="shared" si="87"/>
        <v>6600</v>
      </c>
      <c r="U106" s="65">
        <f t="shared" si="87"/>
        <v>2385</v>
      </c>
      <c r="V106" s="65">
        <f t="shared" si="87"/>
        <v>0</v>
      </c>
      <c r="W106" s="65">
        <f t="shared" si="87"/>
        <v>0</v>
      </c>
      <c r="X106" s="65">
        <f t="shared" si="87"/>
        <v>0</v>
      </c>
      <c r="Y106" s="65">
        <f t="shared" si="87"/>
        <v>11590</v>
      </c>
      <c r="Z106" s="65">
        <f t="shared" si="87"/>
        <v>25495</v>
      </c>
      <c r="AA106" s="65">
        <f t="shared" si="87"/>
        <v>1615162</v>
      </c>
      <c r="AB106" s="134"/>
      <c r="AC106" s="65"/>
    </row>
    <row r="107" spans="1:35" ht="30" customHeight="1" thickBot="1">
      <c r="A107" s="154"/>
      <c r="B107" s="154"/>
      <c r="C107" s="155"/>
      <c r="D107" s="156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7"/>
      <c r="AC107" s="154"/>
    </row>
    <row r="108" spans="1:35" ht="62.25" customHeight="1" thickTop="1">
      <c r="A108" s="185" t="s">
        <v>255</v>
      </c>
      <c r="B108" s="185"/>
      <c r="C108" s="185"/>
      <c r="D108" s="185" t="s">
        <v>256</v>
      </c>
      <c r="E108" s="185"/>
      <c r="F108" s="185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1"/>
      <c r="AC108" s="51"/>
      <c r="AD108" s="52"/>
      <c r="AE108" s="53"/>
      <c r="AF108" s="52"/>
      <c r="AG108" s="54"/>
      <c r="AH108" s="52"/>
      <c r="AI108" s="52"/>
    </row>
    <row r="109" spans="1:35" s="47" customFormat="1" ht="30" customHeight="1">
      <c r="A109" s="186" t="s">
        <v>583</v>
      </c>
      <c r="B109" s="186"/>
      <c r="C109" s="186"/>
      <c r="D109" s="186" t="s">
        <v>257</v>
      </c>
      <c r="E109" s="186"/>
      <c r="F109" s="186"/>
      <c r="G109" s="45"/>
      <c r="H109" s="45"/>
      <c r="I109" s="45"/>
      <c r="J109" s="46"/>
      <c r="K109" s="45"/>
      <c r="L109" s="45"/>
      <c r="N109" s="45"/>
      <c r="O109" s="48"/>
      <c r="P109" s="48"/>
      <c r="R109" s="186" t="s">
        <v>258</v>
      </c>
      <c r="S109" s="186"/>
      <c r="T109" s="186"/>
      <c r="U109" s="45"/>
      <c r="W109" s="45"/>
      <c r="X109" s="45"/>
      <c r="Y109" s="45"/>
      <c r="Z109" s="45"/>
      <c r="AA109" s="45" t="s">
        <v>259</v>
      </c>
      <c r="AB109" s="49"/>
      <c r="AC109" s="48"/>
    </row>
    <row r="110" spans="1:35" ht="30" customHeight="1">
      <c r="A110" s="52"/>
      <c r="B110" s="52"/>
      <c r="C110" s="158"/>
      <c r="D110" s="159"/>
      <c r="E110" s="52"/>
      <c r="F110" s="52"/>
      <c r="G110" s="52"/>
      <c r="H110" s="52"/>
      <c r="I110" s="52"/>
      <c r="J110" s="160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154"/>
      <c r="AC110" s="52"/>
    </row>
    <row r="111" spans="1:35" ht="30" customHeight="1">
      <c r="A111" s="52"/>
      <c r="B111" s="52"/>
      <c r="C111" s="158"/>
      <c r="D111" s="159"/>
      <c r="E111" s="52"/>
      <c r="F111" s="52"/>
      <c r="G111" s="52"/>
      <c r="H111" s="52"/>
      <c r="I111" s="52"/>
      <c r="J111" s="160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161"/>
      <c r="X111" s="52"/>
      <c r="Y111" s="52"/>
      <c r="Z111" s="52"/>
      <c r="AA111" s="52"/>
      <c r="AB111" s="160"/>
      <c r="AC111" s="52"/>
    </row>
    <row r="112" spans="1:35" ht="30" customHeight="1">
      <c r="A112" s="52"/>
      <c r="B112" s="52"/>
      <c r="C112" s="158"/>
      <c r="D112" s="159"/>
      <c r="E112" s="52"/>
      <c r="F112" s="52"/>
      <c r="G112" s="52"/>
      <c r="H112" s="52"/>
      <c r="I112" s="52"/>
      <c r="J112" s="160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161"/>
      <c r="AB112" s="160"/>
      <c r="AC112" s="52"/>
    </row>
    <row r="113" spans="1:29" ht="30" customHeight="1">
      <c r="A113" s="52"/>
      <c r="B113" s="52"/>
      <c r="C113" s="158"/>
      <c r="D113" s="159"/>
      <c r="E113" s="52"/>
      <c r="F113" s="52"/>
      <c r="G113" s="52"/>
      <c r="H113" s="52"/>
      <c r="I113" s="52"/>
      <c r="J113" s="160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160"/>
      <c r="AC113" s="52"/>
    </row>
    <row r="114" spans="1:29" ht="30" customHeight="1">
      <c r="A114" s="52"/>
      <c r="B114" s="52"/>
      <c r="C114" s="158"/>
      <c r="D114" s="159"/>
      <c r="E114" s="52"/>
      <c r="F114" s="52"/>
      <c r="G114" s="52"/>
      <c r="H114" s="52"/>
      <c r="I114" s="52"/>
      <c r="J114" s="160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160"/>
      <c r="AC114" s="52"/>
    </row>
    <row r="115" spans="1:29" ht="30" customHeight="1">
      <c r="A115" s="52"/>
      <c r="B115" s="52"/>
      <c r="C115" s="158"/>
      <c r="D115" s="159"/>
      <c r="E115" s="52"/>
      <c r="F115" s="52"/>
      <c r="G115" s="52"/>
      <c r="H115" s="52"/>
      <c r="I115" s="52"/>
      <c r="J115" s="160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160"/>
      <c r="AC115" s="52"/>
    </row>
  </sheetData>
  <mergeCells count="7">
    <mergeCell ref="A1:AC1"/>
    <mergeCell ref="A2:AC2"/>
    <mergeCell ref="A108:C108"/>
    <mergeCell ref="A109:C109"/>
    <mergeCell ref="R109:T109"/>
    <mergeCell ref="D108:F108"/>
    <mergeCell ref="D109:F109"/>
  </mergeCells>
  <printOptions horizontalCentered="1"/>
  <pageMargins left="0.43307086614173229" right="0" top="0.11811023622047245" bottom="0.19685039370078741" header="0" footer="0"/>
  <pageSetup paperSize="5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168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87" t="s">
        <v>0</v>
      </c>
      <c r="B1" s="188"/>
      <c r="C1" s="188"/>
      <c r="D1" s="188"/>
      <c r="E1" s="188"/>
      <c r="F1" s="188"/>
      <c r="G1" s="1"/>
      <c r="H1" s="1"/>
      <c r="I1" s="1"/>
      <c r="J1" s="1"/>
      <c r="K1" s="1"/>
    </row>
    <row r="2" spans="1:11" ht="22.5" customHeight="1">
      <c r="A2" s="187" t="s">
        <v>260</v>
      </c>
      <c r="B2" s="188"/>
      <c r="C2" s="188"/>
      <c r="D2" s="188"/>
      <c r="E2" s="188"/>
      <c r="F2" s="188"/>
      <c r="G2" s="1"/>
      <c r="H2" s="1"/>
      <c r="I2" s="1"/>
      <c r="J2" s="1"/>
      <c r="K2" s="1"/>
    </row>
    <row r="3" spans="1:11" ht="28.5" customHeight="1">
      <c r="A3" s="2" t="s">
        <v>261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262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263</v>
      </c>
      <c r="C5" s="36" t="s">
        <v>258</v>
      </c>
      <c r="D5" s="18">
        <v>160000</v>
      </c>
      <c r="E5" s="36"/>
      <c r="F5" s="38" t="s">
        <v>264</v>
      </c>
      <c r="G5" s="1">
        <f t="shared" ref="G5:G72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265</v>
      </c>
      <c r="C6" s="36" t="s">
        <v>266</v>
      </c>
      <c r="D6" s="18">
        <v>100106</v>
      </c>
      <c r="E6" s="36">
        <v>99831</v>
      </c>
      <c r="F6" s="38" t="s">
        <v>267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268</v>
      </c>
      <c r="C7" s="36" t="s">
        <v>266</v>
      </c>
      <c r="D7" s="18">
        <v>45000</v>
      </c>
      <c r="E7" s="36">
        <v>44725</v>
      </c>
      <c r="F7" s="38" t="s">
        <v>269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270</v>
      </c>
      <c r="C8" s="36" t="s">
        <v>271</v>
      </c>
      <c r="D8" s="18">
        <v>47667</v>
      </c>
      <c r="E8" s="36">
        <v>47392</v>
      </c>
      <c r="F8" s="38" t="s">
        <v>272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273</v>
      </c>
      <c r="C9" s="36" t="s">
        <v>271</v>
      </c>
      <c r="D9" s="18">
        <v>43206</v>
      </c>
      <c r="E9" s="36">
        <v>42931</v>
      </c>
      <c r="F9" s="38" t="s">
        <v>274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275</v>
      </c>
      <c r="C10" s="36" t="s">
        <v>271</v>
      </c>
      <c r="D10" s="18">
        <v>32460</v>
      </c>
      <c r="E10" s="36">
        <v>32185</v>
      </c>
      <c r="F10" s="38" t="s">
        <v>276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277</v>
      </c>
      <c r="C11" s="36" t="s">
        <v>271</v>
      </c>
      <c r="D11" s="36">
        <v>18000</v>
      </c>
      <c r="E11" s="36">
        <v>17775</v>
      </c>
      <c r="F11" s="38" t="s">
        <v>278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279</v>
      </c>
      <c r="C12" s="36" t="s">
        <v>271</v>
      </c>
      <c r="D12" s="36">
        <v>18000</v>
      </c>
      <c r="E12" s="36">
        <v>17775</v>
      </c>
      <c r="F12" s="38" t="s">
        <v>280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22">
        <v>9</v>
      </c>
      <c r="B13" s="23" t="s">
        <v>281</v>
      </c>
      <c r="C13" s="24" t="s">
        <v>271</v>
      </c>
      <c r="D13" s="24">
        <v>40000</v>
      </c>
      <c r="E13" s="24">
        <v>39725</v>
      </c>
      <c r="F13" s="39" t="s">
        <v>282</v>
      </c>
      <c r="G13" s="25">
        <f t="shared" si="0"/>
        <v>19863</v>
      </c>
      <c r="H13" s="25"/>
      <c r="I13" s="25"/>
      <c r="J13" s="25"/>
      <c r="K13" s="25"/>
    </row>
    <row r="14" spans="1:11" ht="28.5" customHeight="1">
      <c r="A14" s="22">
        <v>10</v>
      </c>
      <c r="B14" s="23" t="s">
        <v>283</v>
      </c>
      <c r="C14" s="24" t="s">
        <v>271</v>
      </c>
      <c r="D14" s="24">
        <v>23000</v>
      </c>
      <c r="E14" s="24">
        <v>22725</v>
      </c>
      <c r="F14" s="39" t="s">
        <v>284</v>
      </c>
      <c r="G14" s="25">
        <f t="shared" si="0"/>
        <v>11363</v>
      </c>
      <c r="H14" s="25"/>
      <c r="I14" s="25"/>
      <c r="J14" s="25"/>
      <c r="K14" s="25"/>
    </row>
    <row r="15" spans="1:11" ht="28.5" customHeight="1">
      <c r="A15" s="18">
        <v>11</v>
      </c>
      <c r="B15" s="30" t="s">
        <v>285</v>
      </c>
      <c r="C15" s="36" t="s">
        <v>271</v>
      </c>
      <c r="D15" s="36">
        <v>22000</v>
      </c>
      <c r="E15" s="36">
        <v>21725</v>
      </c>
      <c r="F15" s="38" t="s">
        <v>286</v>
      </c>
      <c r="G15" s="1">
        <f t="shared" si="0"/>
        <v>10863</v>
      </c>
      <c r="H15" s="1"/>
      <c r="I15" s="1"/>
      <c r="J15" s="1"/>
      <c r="K15" s="1"/>
    </row>
    <row r="16" spans="1:11" ht="28.5" customHeight="1">
      <c r="A16" s="18">
        <v>12</v>
      </c>
      <c r="B16" s="30" t="s">
        <v>287</v>
      </c>
      <c r="C16" s="36" t="s">
        <v>266</v>
      </c>
      <c r="D16" s="36">
        <v>65000</v>
      </c>
      <c r="E16" s="36">
        <v>61725</v>
      </c>
      <c r="F16" s="40" t="s">
        <v>288</v>
      </c>
      <c r="G16" s="1">
        <f t="shared" si="0"/>
        <v>30863</v>
      </c>
      <c r="H16" s="1"/>
      <c r="I16" s="1"/>
      <c r="J16" s="1"/>
      <c r="K16" s="1"/>
    </row>
    <row r="17" spans="1:11" ht="28.5" customHeight="1">
      <c r="A17" s="18">
        <v>13</v>
      </c>
      <c r="B17" s="35" t="s">
        <v>289</v>
      </c>
      <c r="C17" s="36" t="s">
        <v>290</v>
      </c>
      <c r="D17" s="18">
        <v>89961</v>
      </c>
      <c r="E17" s="36">
        <v>86086</v>
      </c>
      <c r="F17" s="41" t="s">
        <v>291</v>
      </c>
      <c r="G17" s="1">
        <f t="shared" si="0"/>
        <v>43043</v>
      </c>
      <c r="H17" s="1"/>
      <c r="I17" s="1"/>
      <c r="J17" s="1"/>
      <c r="K17" s="1"/>
    </row>
    <row r="18" spans="1:11" ht="28.5" customHeight="1">
      <c r="A18" s="18">
        <v>14</v>
      </c>
      <c r="B18" s="35" t="s">
        <v>292</v>
      </c>
      <c r="C18" s="36" t="s">
        <v>266</v>
      </c>
      <c r="D18" s="18">
        <v>51841</v>
      </c>
      <c r="E18" s="36">
        <v>47966</v>
      </c>
      <c r="F18" s="41" t="s">
        <v>293</v>
      </c>
      <c r="G18" s="1">
        <f t="shared" si="0"/>
        <v>23983</v>
      </c>
      <c r="H18" s="1"/>
      <c r="I18" s="1"/>
      <c r="J18" s="1"/>
      <c r="K18" s="1"/>
    </row>
    <row r="19" spans="1:11" ht="28.5" customHeight="1">
      <c r="A19" s="18">
        <v>15</v>
      </c>
      <c r="B19" s="35" t="s">
        <v>294</v>
      </c>
      <c r="C19" s="36" t="s">
        <v>266</v>
      </c>
      <c r="D19" s="18">
        <v>55000</v>
      </c>
      <c r="E19" s="36">
        <v>54725</v>
      </c>
      <c r="F19" s="41" t="s">
        <v>295</v>
      </c>
      <c r="G19" s="1">
        <f t="shared" si="0"/>
        <v>27363</v>
      </c>
      <c r="H19" s="1"/>
      <c r="I19" s="1"/>
      <c r="J19" s="1"/>
      <c r="K19" s="1"/>
    </row>
    <row r="20" spans="1:11" ht="28.5" customHeight="1">
      <c r="A20" s="18">
        <v>16</v>
      </c>
      <c r="B20" s="35" t="s">
        <v>296</v>
      </c>
      <c r="C20" s="36" t="s">
        <v>266</v>
      </c>
      <c r="D20" s="18">
        <v>52000</v>
      </c>
      <c r="E20" s="36">
        <v>51725</v>
      </c>
      <c r="F20" s="18"/>
      <c r="G20" s="1">
        <f t="shared" si="0"/>
        <v>25863</v>
      </c>
      <c r="H20" s="1"/>
      <c r="I20" s="1"/>
      <c r="J20" s="1"/>
      <c r="K20" s="1"/>
    </row>
    <row r="21" spans="1:11" ht="28.5" customHeight="1">
      <c r="A21" s="6">
        <v>17</v>
      </c>
      <c r="B21" s="7" t="s">
        <v>297</v>
      </c>
      <c r="C21" s="8" t="s">
        <v>266</v>
      </c>
      <c r="D21" s="6">
        <v>44332</v>
      </c>
      <c r="E21" s="8">
        <v>44057</v>
      </c>
      <c r="F21" s="42" t="s">
        <v>298</v>
      </c>
      <c r="G21" s="9">
        <f t="shared" si="0"/>
        <v>22029</v>
      </c>
      <c r="H21" s="9"/>
      <c r="I21" s="9"/>
      <c r="J21" s="9"/>
      <c r="K21" s="9"/>
    </row>
    <row r="22" spans="1:11" ht="28.5" customHeight="1">
      <c r="A22" s="18">
        <v>18</v>
      </c>
      <c r="B22" s="35" t="s">
        <v>299</v>
      </c>
      <c r="C22" s="36" t="s">
        <v>266</v>
      </c>
      <c r="D22" s="18">
        <v>60000</v>
      </c>
      <c r="E22" s="36">
        <v>59725</v>
      </c>
      <c r="F22" s="41" t="s">
        <v>300</v>
      </c>
      <c r="G22" s="1">
        <f t="shared" si="0"/>
        <v>29863</v>
      </c>
      <c r="H22" s="1"/>
      <c r="I22" s="1"/>
      <c r="J22" s="1"/>
      <c r="K22" s="1"/>
    </row>
    <row r="23" spans="1:11" ht="28.5" customHeight="1">
      <c r="A23" s="18">
        <v>19</v>
      </c>
      <c r="B23" s="35" t="s">
        <v>301</v>
      </c>
      <c r="C23" s="36" t="s">
        <v>266</v>
      </c>
      <c r="D23" s="18">
        <v>62000</v>
      </c>
      <c r="E23" s="36">
        <v>61725</v>
      </c>
      <c r="F23" s="41" t="s">
        <v>302</v>
      </c>
      <c r="G23" s="1">
        <f t="shared" si="0"/>
        <v>30863</v>
      </c>
      <c r="H23" s="1"/>
      <c r="I23" s="1"/>
      <c r="J23" s="1"/>
      <c r="K23" s="1"/>
    </row>
    <row r="24" spans="1:11" ht="28.5" customHeight="1">
      <c r="A24" s="18">
        <v>20</v>
      </c>
      <c r="B24" s="35" t="s">
        <v>303</v>
      </c>
      <c r="C24" s="36" t="s">
        <v>271</v>
      </c>
      <c r="D24" s="18">
        <v>34510</v>
      </c>
      <c r="E24" s="36">
        <v>34235</v>
      </c>
      <c r="F24" s="41" t="s">
        <v>304</v>
      </c>
      <c r="G24" s="1">
        <f t="shared" si="0"/>
        <v>17118</v>
      </c>
      <c r="H24" s="1"/>
      <c r="I24" s="1"/>
      <c r="J24" s="1"/>
      <c r="K24" s="1"/>
    </row>
    <row r="25" spans="1:11" ht="28.5" customHeight="1">
      <c r="A25" s="18">
        <v>21</v>
      </c>
      <c r="B25" s="35" t="s">
        <v>305</v>
      </c>
      <c r="C25" s="36" t="s">
        <v>271</v>
      </c>
      <c r="D25" s="18">
        <v>20000</v>
      </c>
      <c r="E25" s="36">
        <v>19775</v>
      </c>
      <c r="F25" s="41" t="s">
        <v>306</v>
      </c>
      <c r="G25" s="1">
        <f t="shared" si="0"/>
        <v>9888</v>
      </c>
      <c r="H25" s="1"/>
      <c r="I25" s="1"/>
      <c r="J25" s="1"/>
      <c r="K25" s="1"/>
    </row>
    <row r="26" spans="1:11" ht="28.5" customHeight="1">
      <c r="A26" s="18">
        <v>22</v>
      </c>
      <c r="B26" s="35" t="s">
        <v>307</v>
      </c>
      <c r="C26" s="36" t="s">
        <v>271</v>
      </c>
      <c r="D26" s="18">
        <v>35000</v>
      </c>
      <c r="E26" s="36">
        <v>34725</v>
      </c>
      <c r="F26" s="41" t="s">
        <v>308</v>
      </c>
      <c r="G26" s="1">
        <f t="shared" si="0"/>
        <v>17363</v>
      </c>
      <c r="H26" s="1"/>
      <c r="I26" s="1"/>
      <c r="J26" s="1"/>
      <c r="K26" s="1"/>
    </row>
    <row r="27" spans="1:11" ht="28.5" customHeight="1">
      <c r="A27" s="22">
        <v>23</v>
      </c>
      <c r="B27" s="32" t="s">
        <v>309</v>
      </c>
      <c r="C27" s="24" t="s">
        <v>271</v>
      </c>
      <c r="D27" s="22">
        <v>18000</v>
      </c>
      <c r="E27" s="24">
        <v>17775</v>
      </c>
      <c r="F27" s="43" t="s">
        <v>310</v>
      </c>
      <c r="G27" s="25">
        <f t="shared" si="0"/>
        <v>8888</v>
      </c>
      <c r="H27" s="25"/>
      <c r="I27" s="25"/>
      <c r="J27" s="25"/>
      <c r="K27" s="25"/>
    </row>
    <row r="28" spans="1:11" ht="28.5" customHeight="1">
      <c r="A28" s="18">
        <v>24</v>
      </c>
      <c r="B28" s="35" t="s">
        <v>311</v>
      </c>
      <c r="C28" s="36" t="s">
        <v>271</v>
      </c>
      <c r="D28" s="18">
        <v>25000</v>
      </c>
      <c r="E28" s="36">
        <v>24725</v>
      </c>
      <c r="F28" s="41" t="s">
        <v>312</v>
      </c>
      <c r="G28" s="1">
        <f t="shared" si="0"/>
        <v>12363</v>
      </c>
      <c r="H28" s="1"/>
      <c r="I28" s="1"/>
      <c r="J28" s="1"/>
      <c r="K28" s="1"/>
    </row>
    <row r="29" spans="1:11" ht="28.5" customHeight="1">
      <c r="A29" s="18">
        <v>25</v>
      </c>
      <c r="B29" s="35" t="s">
        <v>313</v>
      </c>
      <c r="C29" s="36" t="s">
        <v>271</v>
      </c>
      <c r="D29" s="18">
        <v>26460</v>
      </c>
      <c r="E29" s="36">
        <v>26185</v>
      </c>
      <c r="F29" s="41" t="s">
        <v>314</v>
      </c>
      <c r="G29" s="1">
        <f t="shared" si="0"/>
        <v>13093</v>
      </c>
      <c r="H29" s="1"/>
      <c r="I29" s="1"/>
      <c r="J29" s="1"/>
      <c r="K29" s="1"/>
    </row>
    <row r="30" spans="1:11" ht="43.5" customHeight="1">
      <c r="A30" s="18">
        <v>26</v>
      </c>
      <c r="B30" s="35" t="s">
        <v>315</v>
      </c>
      <c r="C30" s="36" t="s">
        <v>316</v>
      </c>
      <c r="D30" s="18">
        <v>100000</v>
      </c>
      <c r="E30" s="36">
        <v>96125</v>
      </c>
      <c r="F30" s="38" t="s">
        <v>317</v>
      </c>
      <c r="G30" s="1">
        <f t="shared" si="0"/>
        <v>48063</v>
      </c>
      <c r="H30" s="1"/>
      <c r="I30" s="1"/>
      <c r="J30" s="1"/>
      <c r="K30" s="1"/>
    </row>
    <row r="31" spans="1:11" ht="28.5" customHeight="1">
      <c r="A31" s="18">
        <v>27</v>
      </c>
      <c r="B31" s="35" t="s">
        <v>318</v>
      </c>
      <c r="C31" s="36" t="s">
        <v>319</v>
      </c>
      <c r="D31" s="18">
        <v>65000</v>
      </c>
      <c r="E31" s="36">
        <v>64725</v>
      </c>
      <c r="F31" s="38" t="s">
        <v>320</v>
      </c>
      <c r="G31" s="1">
        <f t="shared" si="0"/>
        <v>32363</v>
      </c>
      <c r="H31" s="1"/>
      <c r="I31" s="1"/>
      <c r="J31" s="1"/>
      <c r="K31" s="1"/>
    </row>
    <row r="32" spans="1:11" ht="28.5" customHeight="1">
      <c r="A32" s="18">
        <v>28</v>
      </c>
      <c r="B32" s="35" t="s">
        <v>321</v>
      </c>
      <c r="C32" s="36" t="s">
        <v>322</v>
      </c>
      <c r="D32" s="18">
        <v>89961</v>
      </c>
      <c r="E32" s="36">
        <v>86086</v>
      </c>
      <c r="F32" s="38" t="s">
        <v>323</v>
      </c>
      <c r="G32" s="1">
        <f t="shared" si="0"/>
        <v>43043</v>
      </c>
      <c r="H32" s="1"/>
      <c r="I32" s="1"/>
      <c r="J32" s="1"/>
      <c r="K32" s="1"/>
    </row>
    <row r="33" spans="1:11" ht="28.5" customHeight="1">
      <c r="A33" s="18">
        <v>29</v>
      </c>
      <c r="B33" s="35" t="s">
        <v>324</v>
      </c>
      <c r="C33" s="36" t="s">
        <v>322</v>
      </c>
      <c r="D33" s="18">
        <v>75000</v>
      </c>
      <c r="E33" s="36">
        <v>74725</v>
      </c>
      <c r="F33" s="38" t="s">
        <v>325</v>
      </c>
      <c r="G33" s="1">
        <f t="shared" si="0"/>
        <v>37363</v>
      </c>
      <c r="H33" s="1"/>
      <c r="I33" s="1"/>
      <c r="J33" s="1"/>
      <c r="K33" s="1"/>
    </row>
    <row r="34" spans="1:11" ht="28.5" customHeight="1">
      <c r="A34" s="18">
        <v>30</v>
      </c>
      <c r="B34" s="35" t="s">
        <v>326</v>
      </c>
      <c r="C34" s="36" t="s">
        <v>327</v>
      </c>
      <c r="D34" s="18">
        <v>45000</v>
      </c>
      <c r="E34" s="36">
        <v>44725</v>
      </c>
      <c r="F34" s="38" t="s">
        <v>328</v>
      </c>
      <c r="G34" s="1">
        <f t="shared" si="0"/>
        <v>22363</v>
      </c>
      <c r="H34" s="1"/>
      <c r="I34" s="1"/>
      <c r="J34" s="1"/>
      <c r="K34" s="1"/>
    </row>
    <row r="35" spans="1:11" ht="28.5" customHeight="1">
      <c r="A35" s="18">
        <v>31</v>
      </c>
      <c r="B35" s="35" t="s">
        <v>329</v>
      </c>
      <c r="C35" s="36" t="s">
        <v>327</v>
      </c>
      <c r="D35" s="18">
        <v>55000</v>
      </c>
      <c r="E35" s="36">
        <v>54725</v>
      </c>
      <c r="F35" s="38" t="s">
        <v>330</v>
      </c>
      <c r="G35" s="1">
        <f t="shared" si="0"/>
        <v>27363</v>
      </c>
      <c r="H35" s="1"/>
      <c r="I35" s="1"/>
      <c r="J35" s="1"/>
      <c r="K35" s="1"/>
    </row>
    <row r="36" spans="1:11" ht="28.5" customHeight="1">
      <c r="A36" s="18">
        <v>32</v>
      </c>
      <c r="B36" s="35" t="s">
        <v>331</v>
      </c>
      <c r="C36" s="36" t="s">
        <v>271</v>
      </c>
      <c r="D36" s="18">
        <v>65000</v>
      </c>
      <c r="E36" s="36">
        <v>68725</v>
      </c>
      <c r="F36" s="38" t="s">
        <v>332</v>
      </c>
      <c r="G36" s="1">
        <f t="shared" si="0"/>
        <v>34363</v>
      </c>
      <c r="H36" s="1"/>
      <c r="I36" s="1"/>
      <c r="J36" s="1"/>
      <c r="K36" s="1"/>
    </row>
    <row r="37" spans="1:11" ht="28.5" customHeight="1">
      <c r="A37" s="18">
        <v>33</v>
      </c>
      <c r="B37" s="35" t="s">
        <v>333</v>
      </c>
      <c r="C37" s="36" t="s">
        <v>271</v>
      </c>
      <c r="D37" s="18">
        <v>31949</v>
      </c>
      <c r="E37" s="36">
        <v>31674</v>
      </c>
      <c r="F37" s="38" t="s">
        <v>334</v>
      </c>
      <c r="G37" s="1">
        <f t="shared" si="0"/>
        <v>15837</v>
      </c>
      <c r="H37" s="1"/>
      <c r="I37" s="1"/>
      <c r="J37" s="1"/>
      <c r="K37" s="1"/>
    </row>
    <row r="38" spans="1:11" ht="28.5" customHeight="1">
      <c r="A38" s="18">
        <v>34</v>
      </c>
      <c r="B38" s="35" t="s">
        <v>335</v>
      </c>
      <c r="C38" s="36" t="s">
        <v>271</v>
      </c>
      <c r="D38" s="18">
        <v>20000</v>
      </c>
      <c r="E38" s="36">
        <v>19775</v>
      </c>
      <c r="F38" s="38" t="s">
        <v>336</v>
      </c>
      <c r="G38" s="1">
        <f t="shared" si="0"/>
        <v>9888</v>
      </c>
      <c r="H38" s="1"/>
      <c r="I38" s="1"/>
      <c r="J38" s="1"/>
      <c r="K38" s="1"/>
    </row>
    <row r="39" spans="1:11" ht="28.5" customHeight="1">
      <c r="A39" s="18">
        <v>35</v>
      </c>
      <c r="B39" s="35" t="s">
        <v>337</v>
      </c>
      <c r="C39" s="36" t="s">
        <v>271</v>
      </c>
      <c r="D39" s="18">
        <v>25000</v>
      </c>
      <c r="E39" s="36">
        <v>24725</v>
      </c>
      <c r="F39" s="38" t="s">
        <v>338</v>
      </c>
      <c r="G39" s="1">
        <f t="shared" si="0"/>
        <v>12363</v>
      </c>
      <c r="H39" s="1"/>
      <c r="I39" s="1"/>
      <c r="J39" s="1"/>
      <c r="K39" s="1"/>
    </row>
    <row r="40" spans="1:11" ht="28.5" customHeight="1">
      <c r="A40" s="18">
        <v>36</v>
      </c>
      <c r="B40" s="35" t="s">
        <v>339</v>
      </c>
      <c r="C40" s="36" t="s">
        <v>271</v>
      </c>
      <c r="D40" s="18">
        <v>45000</v>
      </c>
      <c r="E40" s="36">
        <v>44725</v>
      </c>
      <c r="F40" s="38" t="s">
        <v>340</v>
      </c>
      <c r="G40" s="1">
        <f t="shared" si="0"/>
        <v>22363</v>
      </c>
      <c r="H40" s="1"/>
      <c r="I40" s="1"/>
      <c r="J40" s="1"/>
      <c r="K40" s="1"/>
    </row>
    <row r="41" spans="1:11" ht="28.5" customHeight="1">
      <c r="A41" s="18">
        <v>37</v>
      </c>
      <c r="B41" s="35" t="s">
        <v>341</v>
      </c>
      <c r="C41" s="36" t="s">
        <v>271</v>
      </c>
      <c r="D41" s="18">
        <v>15000</v>
      </c>
      <c r="E41" s="36">
        <v>14925</v>
      </c>
      <c r="F41" s="38" t="s">
        <v>342</v>
      </c>
      <c r="G41" s="1">
        <f t="shared" si="0"/>
        <v>7463</v>
      </c>
      <c r="H41" s="1"/>
      <c r="I41" s="1"/>
      <c r="J41" s="1"/>
      <c r="K41" s="1"/>
    </row>
    <row r="42" spans="1:11" ht="29.25" customHeight="1">
      <c r="A42" s="18">
        <v>38</v>
      </c>
      <c r="B42" s="35" t="s">
        <v>343</v>
      </c>
      <c r="C42" s="36" t="s">
        <v>271</v>
      </c>
      <c r="D42" s="18">
        <v>15000</v>
      </c>
      <c r="E42" s="36">
        <v>14925</v>
      </c>
      <c r="F42" s="38" t="s">
        <v>344</v>
      </c>
      <c r="G42" s="1">
        <f t="shared" si="0"/>
        <v>7463</v>
      </c>
      <c r="H42" s="1"/>
      <c r="I42" s="1"/>
      <c r="J42" s="1"/>
      <c r="K42" s="1"/>
    </row>
    <row r="43" spans="1:11" ht="28.5" customHeight="1">
      <c r="A43" s="18">
        <v>39</v>
      </c>
      <c r="B43" s="35" t="s">
        <v>345</v>
      </c>
      <c r="C43" s="36" t="s">
        <v>271</v>
      </c>
      <c r="D43" s="18">
        <v>60000</v>
      </c>
      <c r="E43" s="36">
        <v>59725</v>
      </c>
      <c r="F43" s="38" t="s">
        <v>346</v>
      </c>
      <c r="G43" s="1">
        <f t="shared" si="0"/>
        <v>29863</v>
      </c>
      <c r="H43" s="1"/>
      <c r="I43" s="1"/>
      <c r="J43" s="1"/>
      <c r="K43" s="1"/>
    </row>
    <row r="44" spans="1:11" ht="28.5" customHeight="1">
      <c r="A44" s="18">
        <v>40</v>
      </c>
      <c r="B44" s="35" t="s">
        <v>347</v>
      </c>
      <c r="C44" s="36" t="s">
        <v>271</v>
      </c>
      <c r="D44" s="18">
        <v>25000</v>
      </c>
      <c r="E44" s="36">
        <v>24725</v>
      </c>
      <c r="F44" s="38" t="s">
        <v>348</v>
      </c>
      <c r="G44" s="1">
        <f t="shared" si="0"/>
        <v>12363</v>
      </c>
      <c r="H44" s="1"/>
      <c r="I44" s="1"/>
      <c r="J44" s="1"/>
      <c r="K44" s="1"/>
    </row>
    <row r="45" spans="1:11" ht="28.5" customHeight="1">
      <c r="A45" s="18">
        <v>41</v>
      </c>
      <c r="B45" s="35" t="s">
        <v>349</v>
      </c>
      <c r="C45" s="36" t="s">
        <v>271</v>
      </c>
      <c r="D45" s="18">
        <v>25000</v>
      </c>
      <c r="E45" s="36">
        <v>24725</v>
      </c>
      <c r="F45" s="38" t="s">
        <v>350</v>
      </c>
      <c r="G45" s="1">
        <f t="shared" si="0"/>
        <v>12363</v>
      </c>
      <c r="H45" s="1"/>
      <c r="I45" s="1"/>
      <c r="J45" s="1"/>
      <c r="K45" s="1"/>
    </row>
    <row r="46" spans="1:11" ht="28.5" customHeight="1">
      <c r="A46" s="18">
        <v>42</v>
      </c>
      <c r="B46" s="35" t="s">
        <v>351</v>
      </c>
      <c r="C46" s="36" t="s">
        <v>271</v>
      </c>
      <c r="D46" s="18">
        <v>25000</v>
      </c>
      <c r="E46" s="36">
        <v>24725</v>
      </c>
      <c r="F46" s="38" t="s">
        <v>352</v>
      </c>
      <c r="G46" s="1">
        <f t="shared" si="0"/>
        <v>12363</v>
      </c>
      <c r="H46" s="1"/>
      <c r="I46" s="1"/>
      <c r="J46" s="1"/>
      <c r="K46" s="1"/>
    </row>
    <row r="47" spans="1:11" ht="28.5" customHeight="1">
      <c r="A47" s="18"/>
      <c r="B47" s="35"/>
      <c r="C47" s="36"/>
      <c r="D47" s="18"/>
      <c r="E47" s="36"/>
      <c r="F47" s="21"/>
      <c r="G47" s="1">
        <f t="shared" si="0"/>
        <v>0</v>
      </c>
      <c r="H47" s="1"/>
      <c r="I47" s="1"/>
      <c r="J47" s="1"/>
      <c r="K47" s="1"/>
    </row>
    <row r="48" spans="1:11" ht="28.5" customHeight="1">
      <c r="A48" s="18">
        <v>43</v>
      </c>
      <c r="B48" s="35" t="s">
        <v>353</v>
      </c>
      <c r="C48" s="36" t="s">
        <v>354</v>
      </c>
      <c r="D48" s="18">
        <v>80000</v>
      </c>
      <c r="E48" s="36">
        <v>79725</v>
      </c>
      <c r="F48" s="41" t="s">
        <v>355</v>
      </c>
      <c r="G48" s="1">
        <f t="shared" si="0"/>
        <v>39863</v>
      </c>
      <c r="H48" s="1"/>
      <c r="I48" s="1"/>
      <c r="J48" s="1"/>
      <c r="K48" s="1"/>
    </row>
    <row r="49" spans="1:11" ht="28.5" customHeight="1">
      <c r="A49" s="6">
        <v>44</v>
      </c>
      <c r="B49" s="10" t="s">
        <v>356</v>
      </c>
      <c r="C49" s="8" t="s">
        <v>266</v>
      </c>
      <c r="D49" s="6">
        <v>70000</v>
      </c>
      <c r="E49" s="8">
        <v>69725</v>
      </c>
      <c r="F49" s="42" t="s">
        <v>357</v>
      </c>
      <c r="G49" s="9">
        <f t="shared" si="0"/>
        <v>34863</v>
      </c>
      <c r="H49" s="9"/>
      <c r="I49" s="9"/>
      <c r="J49" s="9"/>
      <c r="K49" s="9"/>
    </row>
    <row r="50" spans="1:11" ht="28.5" customHeight="1">
      <c r="A50" s="18">
        <v>45</v>
      </c>
      <c r="B50" s="37" t="s">
        <v>358</v>
      </c>
      <c r="C50" s="36" t="s">
        <v>266</v>
      </c>
      <c r="D50" s="18">
        <v>50000</v>
      </c>
      <c r="E50" s="36">
        <v>49725</v>
      </c>
      <c r="F50" s="41" t="s">
        <v>359</v>
      </c>
      <c r="G50" s="1">
        <f t="shared" si="0"/>
        <v>24863</v>
      </c>
      <c r="H50" s="1"/>
      <c r="I50" s="1"/>
      <c r="J50" s="1"/>
      <c r="K50" s="1"/>
    </row>
    <row r="51" spans="1:11" ht="28.5" customHeight="1">
      <c r="A51" s="18">
        <v>46</v>
      </c>
      <c r="B51" s="37" t="s">
        <v>360</v>
      </c>
      <c r="C51" s="36" t="s">
        <v>266</v>
      </c>
      <c r="D51" s="18">
        <v>50000</v>
      </c>
      <c r="E51" s="36">
        <v>49725</v>
      </c>
      <c r="F51" s="41" t="s">
        <v>361</v>
      </c>
      <c r="G51" s="1">
        <f t="shared" si="0"/>
        <v>24863</v>
      </c>
      <c r="H51" s="1"/>
      <c r="I51" s="1"/>
      <c r="J51" s="1"/>
      <c r="K51" s="1"/>
    </row>
    <row r="52" spans="1:11" ht="28.5" customHeight="1">
      <c r="A52" s="22">
        <v>47</v>
      </c>
      <c r="B52" s="33" t="s">
        <v>362</v>
      </c>
      <c r="C52" s="24" t="s">
        <v>266</v>
      </c>
      <c r="D52" s="22">
        <v>75000</v>
      </c>
      <c r="E52" s="24">
        <v>74725</v>
      </c>
      <c r="F52" s="22"/>
      <c r="G52" s="25">
        <f t="shared" si="0"/>
        <v>37363</v>
      </c>
      <c r="H52" s="25"/>
      <c r="I52" s="25"/>
      <c r="J52" s="25"/>
      <c r="K52" s="25"/>
    </row>
    <row r="53" spans="1:11" ht="28.5" customHeight="1">
      <c r="A53" s="18">
        <v>48</v>
      </c>
      <c r="B53" s="35" t="s">
        <v>363</v>
      </c>
      <c r="C53" s="36" t="s">
        <v>266</v>
      </c>
      <c r="D53" s="18">
        <v>46559</v>
      </c>
      <c r="E53" s="36">
        <v>42684</v>
      </c>
      <c r="F53" s="41" t="s">
        <v>364</v>
      </c>
      <c r="G53" s="1">
        <f t="shared" si="0"/>
        <v>21342</v>
      </c>
      <c r="H53" s="1"/>
      <c r="I53" s="1"/>
      <c r="J53" s="1"/>
      <c r="K53" s="1"/>
    </row>
    <row r="54" spans="1:11" ht="28.5" customHeight="1">
      <c r="A54" s="18">
        <v>49</v>
      </c>
      <c r="B54" s="35" t="s">
        <v>365</v>
      </c>
      <c r="C54" s="36" t="s">
        <v>266</v>
      </c>
      <c r="D54" s="18">
        <v>40548</v>
      </c>
      <c r="E54" s="36">
        <v>36673</v>
      </c>
      <c r="F54" s="41" t="s">
        <v>366</v>
      </c>
      <c r="G54" s="1">
        <f t="shared" si="0"/>
        <v>18337</v>
      </c>
      <c r="H54" s="1"/>
      <c r="I54" s="1"/>
      <c r="J54" s="1"/>
      <c r="K54" s="1"/>
    </row>
    <row r="55" spans="1:11" ht="28.5" customHeight="1">
      <c r="A55" s="18">
        <v>50</v>
      </c>
      <c r="B55" s="35" t="s">
        <v>367</v>
      </c>
      <c r="C55" s="36" t="s">
        <v>266</v>
      </c>
      <c r="D55" s="18">
        <v>36045</v>
      </c>
      <c r="E55" s="36">
        <v>36170</v>
      </c>
      <c r="F55" s="41" t="s">
        <v>368</v>
      </c>
      <c r="G55" s="1">
        <f t="shared" si="0"/>
        <v>18085</v>
      </c>
      <c r="H55" s="1"/>
      <c r="I55" s="1"/>
      <c r="J55" s="1"/>
      <c r="K55" s="1"/>
    </row>
    <row r="56" spans="1:11" ht="28.5" customHeight="1">
      <c r="A56" s="6">
        <v>51</v>
      </c>
      <c r="B56" s="7" t="s">
        <v>369</v>
      </c>
      <c r="C56" s="8" t="s">
        <v>266</v>
      </c>
      <c r="D56" s="6">
        <v>38000</v>
      </c>
      <c r="E56" s="8">
        <v>37725</v>
      </c>
      <c r="F56" s="42" t="s">
        <v>370</v>
      </c>
      <c r="G56" s="9">
        <f t="shared" si="0"/>
        <v>18863</v>
      </c>
      <c r="H56" s="9"/>
      <c r="I56" s="9"/>
      <c r="J56" s="9"/>
      <c r="K56" s="9"/>
    </row>
    <row r="57" spans="1:11" ht="28.5" customHeight="1">
      <c r="A57" s="18">
        <v>52</v>
      </c>
      <c r="B57" s="35" t="s">
        <v>371</v>
      </c>
      <c r="C57" s="36" t="s">
        <v>266</v>
      </c>
      <c r="D57" s="18">
        <v>45000</v>
      </c>
      <c r="E57" s="36">
        <v>44725</v>
      </c>
      <c r="F57" s="41" t="s">
        <v>372</v>
      </c>
      <c r="G57" s="1">
        <f t="shared" si="0"/>
        <v>22363</v>
      </c>
      <c r="H57" s="1"/>
      <c r="I57" s="1"/>
      <c r="J57" s="1"/>
      <c r="K57" s="1"/>
    </row>
    <row r="58" spans="1:11" ht="28.5" customHeight="1">
      <c r="A58" s="18">
        <v>53</v>
      </c>
      <c r="B58" s="35" t="s">
        <v>373</v>
      </c>
      <c r="C58" s="36" t="s">
        <v>374</v>
      </c>
      <c r="D58" s="18">
        <v>20000</v>
      </c>
      <c r="E58" s="36">
        <v>19775</v>
      </c>
      <c r="F58" s="41" t="s">
        <v>375</v>
      </c>
      <c r="G58" s="1">
        <f t="shared" si="0"/>
        <v>9888</v>
      </c>
      <c r="H58" s="1"/>
      <c r="I58" s="1"/>
      <c r="J58" s="1"/>
      <c r="K58" s="1"/>
    </row>
    <row r="59" spans="1:11" ht="28.5" customHeight="1">
      <c r="A59" s="18">
        <v>54</v>
      </c>
      <c r="B59" s="35" t="s">
        <v>376</v>
      </c>
      <c r="C59" s="36" t="s">
        <v>271</v>
      </c>
      <c r="D59" s="18">
        <v>34510</v>
      </c>
      <c r="E59" s="36">
        <v>34235</v>
      </c>
      <c r="F59" s="41" t="s">
        <v>377</v>
      </c>
      <c r="G59" s="1">
        <f t="shared" si="0"/>
        <v>17118</v>
      </c>
      <c r="H59" s="1"/>
      <c r="I59" s="1"/>
      <c r="J59" s="1"/>
      <c r="K59" s="1"/>
    </row>
    <row r="60" spans="1:11" ht="28.5" customHeight="1">
      <c r="A60" s="18">
        <v>55</v>
      </c>
      <c r="B60" s="35" t="s">
        <v>378</v>
      </c>
      <c r="C60" s="36" t="s">
        <v>271</v>
      </c>
      <c r="D60" s="18">
        <v>65000</v>
      </c>
      <c r="E60" s="36">
        <v>64725</v>
      </c>
      <c r="F60" s="41" t="s">
        <v>379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56</v>
      </c>
      <c r="B61" s="35" t="s">
        <v>380</v>
      </c>
      <c r="C61" s="36" t="s">
        <v>271</v>
      </c>
      <c r="D61" s="18">
        <v>23000</v>
      </c>
      <c r="E61" s="36">
        <v>22725</v>
      </c>
      <c r="F61" s="41" t="s">
        <v>381</v>
      </c>
      <c r="G61" s="1">
        <f t="shared" si="0"/>
        <v>11363</v>
      </c>
      <c r="H61" s="1"/>
      <c r="I61" s="1"/>
      <c r="J61" s="1"/>
      <c r="K61" s="1"/>
    </row>
    <row r="62" spans="1:11" ht="28.5" customHeight="1">
      <c r="A62" s="6">
        <v>57</v>
      </c>
      <c r="B62" s="7" t="s">
        <v>382</v>
      </c>
      <c r="C62" s="8" t="s">
        <v>271</v>
      </c>
      <c r="D62" s="6">
        <v>59890</v>
      </c>
      <c r="E62" s="8">
        <v>59615</v>
      </c>
      <c r="F62" s="42" t="s">
        <v>383</v>
      </c>
      <c r="G62" s="9">
        <f t="shared" si="0"/>
        <v>29808</v>
      </c>
      <c r="H62" s="9"/>
      <c r="I62" s="9"/>
      <c r="J62" s="9"/>
      <c r="K62" s="9"/>
    </row>
    <row r="63" spans="1:11" ht="28.5" customHeight="1">
      <c r="A63" s="18">
        <v>58</v>
      </c>
      <c r="B63" s="35" t="s">
        <v>384</v>
      </c>
      <c r="C63" s="36" t="s">
        <v>271</v>
      </c>
      <c r="D63" s="18">
        <v>33460</v>
      </c>
      <c r="E63" s="36">
        <v>33185</v>
      </c>
      <c r="F63" s="41" t="s">
        <v>385</v>
      </c>
      <c r="G63" s="1">
        <f t="shared" si="0"/>
        <v>16593</v>
      </c>
      <c r="H63" s="1"/>
      <c r="I63" s="1"/>
      <c r="J63" s="1"/>
      <c r="K63" s="1"/>
    </row>
    <row r="64" spans="1:11" ht="28.5" customHeight="1">
      <c r="A64" s="18">
        <v>59</v>
      </c>
      <c r="B64" s="35" t="s">
        <v>386</v>
      </c>
      <c r="C64" s="36" t="s">
        <v>271</v>
      </c>
      <c r="D64" s="18">
        <v>17000</v>
      </c>
      <c r="E64" s="36">
        <v>16775</v>
      </c>
      <c r="F64" s="41" t="s">
        <v>387</v>
      </c>
      <c r="G64" s="1">
        <f t="shared" si="0"/>
        <v>8388</v>
      </c>
      <c r="H64" s="1"/>
      <c r="I64" s="1"/>
      <c r="J64" s="1"/>
      <c r="K64" s="1"/>
    </row>
    <row r="65" spans="1:11" ht="28.5" customHeight="1">
      <c r="A65" s="18">
        <v>60</v>
      </c>
      <c r="B65" s="35" t="s">
        <v>388</v>
      </c>
      <c r="C65" s="36" t="s">
        <v>271</v>
      </c>
      <c r="D65" s="18">
        <v>75000</v>
      </c>
      <c r="E65" s="36">
        <v>74725</v>
      </c>
      <c r="F65" s="41" t="s">
        <v>389</v>
      </c>
      <c r="G65" s="1">
        <f t="shared" si="0"/>
        <v>37363</v>
      </c>
      <c r="H65" s="1"/>
      <c r="I65" s="1"/>
      <c r="J65" s="1"/>
      <c r="K65" s="1"/>
    </row>
    <row r="66" spans="1:11" ht="28.5" customHeight="1">
      <c r="A66" s="18">
        <v>61</v>
      </c>
      <c r="B66" s="35" t="s">
        <v>390</v>
      </c>
      <c r="C66" s="36" t="s">
        <v>271</v>
      </c>
      <c r="D66" s="18">
        <v>18000</v>
      </c>
      <c r="E66" s="36">
        <v>17775</v>
      </c>
      <c r="F66" s="41" t="s">
        <v>391</v>
      </c>
      <c r="G66" s="1">
        <f t="shared" si="0"/>
        <v>8888</v>
      </c>
      <c r="H66" s="1"/>
      <c r="I66" s="1"/>
      <c r="J66" s="1"/>
      <c r="K66" s="1"/>
    </row>
    <row r="67" spans="1:11" ht="28.5" customHeight="1">
      <c r="A67" s="18">
        <v>62</v>
      </c>
      <c r="B67" s="35" t="s">
        <v>392</v>
      </c>
      <c r="C67" s="36" t="s">
        <v>271</v>
      </c>
      <c r="D67" s="18">
        <v>50000</v>
      </c>
      <c r="E67" s="36">
        <v>49725</v>
      </c>
      <c r="F67" s="41" t="s">
        <v>393</v>
      </c>
      <c r="G67" s="1">
        <f t="shared" si="0"/>
        <v>24863</v>
      </c>
      <c r="H67" s="1"/>
      <c r="I67" s="1"/>
      <c r="J67" s="1"/>
      <c r="K67" s="1"/>
    </row>
    <row r="68" spans="1:11" ht="28.5" customHeight="1">
      <c r="A68" s="18">
        <v>63</v>
      </c>
      <c r="B68" s="35" t="s">
        <v>394</v>
      </c>
      <c r="C68" s="36" t="s">
        <v>271</v>
      </c>
      <c r="D68" s="18">
        <v>31460</v>
      </c>
      <c r="E68" s="36">
        <v>31185</v>
      </c>
      <c r="F68" s="41" t="s">
        <v>395</v>
      </c>
      <c r="G68" s="1">
        <f t="shared" si="0"/>
        <v>15593</v>
      </c>
      <c r="H68" s="1"/>
      <c r="I68" s="1"/>
      <c r="J68" s="1"/>
      <c r="K68" s="1"/>
    </row>
    <row r="69" spans="1:11" ht="28.5" customHeight="1">
      <c r="A69" s="18">
        <v>64</v>
      </c>
      <c r="B69" s="35" t="s">
        <v>396</v>
      </c>
      <c r="C69" s="36" t="s">
        <v>271</v>
      </c>
      <c r="D69" s="18">
        <v>65000</v>
      </c>
      <c r="E69" s="36">
        <v>64725</v>
      </c>
      <c r="F69" s="41" t="s">
        <v>397</v>
      </c>
      <c r="G69" s="1">
        <f t="shared" si="0"/>
        <v>32363</v>
      </c>
      <c r="H69" s="1"/>
      <c r="I69" s="1"/>
      <c r="J69" s="1"/>
      <c r="K69" s="1"/>
    </row>
    <row r="70" spans="1:11" ht="28.5" customHeight="1">
      <c r="A70" s="18">
        <v>65</v>
      </c>
      <c r="B70" s="35" t="s">
        <v>398</v>
      </c>
      <c r="C70" s="36" t="s">
        <v>271</v>
      </c>
      <c r="D70" s="18">
        <v>15000</v>
      </c>
      <c r="E70" s="36">
        <v>14970</v>
      </c>
      <c r="F70" s="41" t="s">
        <v>399</v>
      </c>
      <c r="G70" s="1">
        <f t="shared" si="0"/>
        <v>7485</v>
      </c>
      <c r="H70" s="1"/>
      <c r="I70" s="1"/>
      <c r="J70" s="1"/>
      <c r="K70" s="1"/>
    </row>
    <row r="71" spans="1:11" ht="28.5" customHeight="1">
      <c r="A71" s="18">
        <v>66</v>
      </c>
      <c r="B71" s="35" t="s">
        <v>168</v>
      </c>
      <c r="C71" s="36" t="s">
        <v>271</v>
      </c>
      <c r="D71" s="18">
        <v>15000</v>
      </c>
      <c r="E71" s="36">
        <v>13170</v>
      </c>
      <c r="F71" s="41" t="s">
        <v>169</v>
      </c>
      <c r="G71" s="1">
        <f t="shared" si="0"/>
        <v>6585</v>
      </c>
      <c r="H71" s="1"/>
      <c r="I71" s="1"/>
      <c r="J71" s="1"/>
      <c r="K71" s="1"/>
    </row>
    <row r="72" spans="1:11" ht="28.5" customHeight="1">
      <c r="A72" s="18">
        <v>67</v>
      </c>
      <c r="B72" s="35" t="s">
        <v>400</v>
      </c>
      <c r="C72" s="36" t="s">
        <v>271</v>
      </c>
      <c r="D72" s="18">
        <v>25000</v>
      </c>
      <c r="E72" s="36">
        <v>24725</v>
      </c>
      <c r="F72" s="41" t="s">
        <v>401</v>
      </c>
      <c r="G72" s="1">
        <f t="shared" si="0"/>
        <v>12363</v>
      </c>
      <c r="H72" s="1"/>
      <c r="I72" s="1"/>
      <c r="J72" s="1"/>
      <c r="K72" s="1"/>
    </row>
    <row r="73" spans="1:11" ht="28.5" customHeight="1">
      <c r="A73" s="18"/>
      <c r="B73" s="35"/>
      <c r="C73" s="36"/>
      <c r="D73" s="18"/>
      <c r="E73" s="36"/>
      <c r="F73" s="18"/>
      <c r="G73" s="1"/>
      <c r="H73" s="1"/>
      <c r="I73" s="1"/>
      <c r="J73" s="1"/>
      <c r="K73" s="1"/>
    </row>
    <row r="74" spans="1:11" ht="28.5" customHeight="1">
      <c r="A74" s="18">
        <v>68</v>
      </c>
      <c r="B74" s="35" t="s">
        <v>402</v>
      </c>
      <c r="C74" s="36" t="s">
        <v>403</v>
      </c>
      <c r="D74" s="18">
        <v>40395</v>
      </c>
      <c r="E74" s="36">
        <v>36520</v>
      </c>
      <c r="F74" s="41" t="s">
        <v>404</v>
      </c>
      <c r="G74" s="1">
        <f t="shared" ref="G74:G105" si="1">ROUND(E74/2,0)</f>
        <v>18260</v>
      </c>
      <c r="H74" s="1"/>
      <c r="I74" s="1"/>
      <c r="J74" s="1"/>
      <c r="K74" s="1"/>
    </row>
    <row r="75" spans="1:11" ht="28.5" customHeight="1">
      <c r="A75" s="18">
        <v>69</v>
      </c>
      <c r="B75" s="35" t="s">
        <v>405</v>
      </c>
      <c r="C75" s="36" t="s">
        <v>266</v>
      </c>
      <c r="D75" s="18">
        <v>49126</v>
      </c>
      <c r="E75" s="36">
        <v>45251</v>
      </c>
      <c r="F75" s="41" t="s">
        <v>406</v>
      </c>
      <c r="G75" s="1">
        <f t="shared" si="1"/>
        <v>22626</v>
      </c>
      <c r="H75" s="1"/>
      <c r="I75" s="1"/>
      <c r="J75" s="1"/>
      <c r="K75" s="1"/>
    </row>
    <row r="76" spans="1:11" ht="28.5" customHeight="1">
      <c r="A76" s="18">
        <v>70</v>
      </c>
      <c r="B76" s="35" t="s">
        <v>407</v>
      </c>
      <c r="C76" s="36" t="s">
        <v>266</v>
      </c>
      <c r="D76" s="18">
        <v>50000</v>
      </c>
      <c r="E76" s="36">
        <v>49725</v>
      </c>
      <c r="F76" s="41" t="s">
        <v>408</v>
      </c>
      <c r="G76" s="1">
        <f t="shared" si="1"/>
        <v>24863</v>
      </c>
      <c r="H76" s="1"/>
      <c r="I76" s="1"/>
      <c r="J76" s="1"/>
      <c r="K76" s="1"/>
    </row>
    <row r="77" spans="1:11" ht="28.5" customHeight="1">
      <c r="A77" s="6">
        <v>71</v>
      </c>
      <c r="B77" s="7" t="s">
        <v>409</v>
      </c>
      <c r="C77" s="8" t="s">
        <v>266</v>
      </c>
      <c r="D77" s="6">
        <v>90000</v>
      </c>
      <c r="E77" s="8">
        <v>89725</v>
      </c>
      <c r="F77" s="6"/>
      <c r="G77" s="9">
        <f t="shared" si="1"/>
        <v>44863</v>
      </c>
      <c r="H77" s="9"/>
      <c r="I77" s="9"/>
      <c r="J77" s="9"/>
      <c r="K77" s="9"/>
    </row>
    <row r="78" spans="1:11" ht="28.5" customHeight="1">
      <c r="A78" s="18">
        <v>72</v>
      </c>
      <c r="B78" s="35" t="s">
        <v>410</v>
      </c>
      <c r="C78" s="36" t="s">
        <v>266</v>
      </c>
      <c r="D78" s="18">
        <v>75000</v>
      </c>
      <c r="E78" s="36">
        <v>74725</v>
      </c>
      <c r="F78" s="41" t="s">
        <v>411</v>
      </c>
      <c r="G78" s="1">
        <f t="shared" si="1"/>
        <v>37363</v>
      </c>
      <c r="H78" s="1"/>
      <c r="I78" s="1"/>
      <c r="J78" s="1"/>
      <c r="K78" s="1"/>
    </row>
    <row r="79" spans="1:11" ht="28.5" customHeight="1">
      <c r="A79" s="18">
        <v>73</v>
      </c>
      <c r="B79" s="35" t="s">
        <v>412</v>
      </c>
      <c r="C79" s="36" t="s">
        <v>266</v>
      </c>
      <c r="D79" s="18">
        <v>50000</v>
      </c>
      <c r="E79" s="36">
        <v>49725</v>
      </c>
      <c r="F79" s="41" t="s">
        <v>413</v>
      </c>
      <c r="G79" s="1">
        <f t="shared" si="1"/>
        <v>24863</v>
      </c>
      <c r="H79" s="1"/>
      <c r="I79" s="1"/>
      <c r="J79" s="1"/>
      <c r="K79" s="1"/>
    </row>
    <row r="80" spans="1:11" ht="28.5" customHeight="1">
      <c r="A80" s="18">
        <v>74</v>
      </c>
      <c r="B80" s="35" t="s">
        <v>414</v>
      </c>
      <c r="C80" s="36" t="s">
        <v>271</v>
      </c>
      <c r="D80" s="18">
        <v>17000</v>
      </c>
      <c r="E80" s="36">
        <v>20725</v>
      </c>
      <c r="F80" s="41" t="s">
        <v>415</v>
      </c>
      <c r="G80" s="1">
        <f t="shared" si="1"/>
        <v>10363</v>
      </c>
      <c r="H80" s="1"/>
      <c r="I80" s="1"/>
      <c r="J80" s="1"/>
      <c r="K80" s="1"/>
    </row>
    <row r="81" spans="1:11" ht="28.5" customHeight="1">
      <c r="A81" s="22">
        <v>75</v>
      </c>
      <c r="B81" s="32" t="s">
        <v>416</v>
      </c>
      <c r="C81" s="24" t="s">
        <v>271</v>
      </c>
      <c r="D81" s="22">
        <v>24000</v>
      </c>
      <c r="E81" s="24">
        <v>23725</v>
      </c>
      <c r="F81" s="43" t="s">
        <v>417</v>
      </c>
      <c r="G81" s="25">
        <f t="shared" si="1"/>
        <v>11863</v>
      </c>
      <c r="H81" s="25"/>
      <c r="I81" s="25"/>
      <c r="J81" s="25"/>
      <c r="K81" s="25"/>
    </row>
    <row r="82" spans="1:11" ht="28.5" customHeight="1">
      <c r="A82" s="18">
        <v>76</v>
      </c>
      <c r="B82" s="35" t="s">
        <v>418</v>
      </c>
      <c r="C82" s="36" t="s">
        <v>271</v>
      </c>
      <c r="D82" s="18">
        <v>30000</v>
      </c>
      <c r="E82" s="36">
        <v>29725</v>
      </c>
      <c r="F82" s="41" t="s">
        <v>419</v>
      </c>
      <c r="G82" s="1">
        <f t="shared" si="1"/>
        <v>14863</v>
      </c>
      <c r="H82" s="1"/>
      <c r="I82" s="1"/>
      <c r="J82" s="1"/>
      <c r="K82" s="1"/>
    </row>
    <row r="83" spans="1:11" ht="28.5" customHeight="1">
      <c r="A83" s="18">
        <v>77</v>
      </c>
      <c r="B83" s="35" t="s">
        <v>420</v>
      </c>
      <c r="C83" s="36" t="s">
        <v>271</v>
      </c>
      <c r="D83" s="18">
        <v>32000</v>
      </c>
      <c r="E83" s="36">
        <v>31725</v>
      </c>
      <c r="F83" s="41" t="s">
        <v>421</v>
      </c>
      <c r="G83" s="1">
        <f t="shared" si="1"/>
        <v>15863</v>
      </c>
      <c r="H83" s="1"/>
      <c r="I83" s="1"/>
      <c r="J83" s="1"/>
      <c r="K83" s="1"/>
    </row>
    <row r="84" spans="1:11" ht="28.5" customHeight="1">
      <c r="A84" s="11">
        <v>78</v>
      </c>
      <c r="B84" s="12" t="s">
        <v>422</v>
      </c>
      <c r="C84" s="13" t="s">
        <v>271</v>
      </c>
      <c r="D84" s="11">
        <v>35000</v>
      </c>
      <c r="E84" s="13">
        <v>34725</v>
      </c>
      <c r="F84" s="44" t="s">
        <v>423</v>
      </c>
      <c r="G84" s="14">
        <f t="shared" si="1"/>
        <v>17363</v>
      </c>
      <c r="H84" s="14"/>
      <c r="I84" s="14"/>
      <c r="J84" s="14"/>
      <c r="K84" s="14"/>
    </row>
    <row r="85" spans="1:11" ht="28.5" customHeight="1">
      <c r="A85" s="18">
        <v>79</v>
      </c>
      <c r="B85" s="35" t="s">
        <v>424</v>
      </c>
      <c r="C85" s="36" t="s">
        <v>271</v>
      </c>
      <c r="D85" s="18">
        <v>35000</v>
      </c>
      <c r="E85" s="36">
        <v>34725</v>
      </c>
      <c r="F85" s="41" t="s">
        <v>425</v>
      </c>
      <c r="G85" s="1">
        <f t="shared" si="1"/>
        <v>17363</v>
      </c>
      <c r="H85" s="1"/>
      <c r="I85" s="1"/>
      <c r="J85" s="1"/>
      <c r="K85" s="1"/>
    </row>
    <row r="86" spans="1:11" ht="28.5" customHeight="1">
      <c r="A86" s="18">
        <v>80</v>
      </c>
      <c r="B86" s="35" t="s">
        <v>426</v>
      </c>
      <c r="C86" s="36" t="s">
        <v>427</v>
      </c>
      <c r="D86" s="18">
        <v>52000</v>
      </c>
      <c r="E86" s="36">
        <v>51770</v>
      </c>
      <c r="F86" s="41" t="s">
        <v>428</v>
      </c>
      <c r="G86" s="1">
        <f t="shared" si="1"/>
        <v>25885</v>
      </c>
      <c r="H86" s="1"/>
      <c r="I86" s="1"/>
      <c r="J86" s="1"/>
      <c r="K86" s="1"/>
    </row>
    <row r="87" spans="1:11" ht="28.5" customHeight="1">
      <c r="A87" s="18">
        <v>81</v>
      </c>
      <c r="B87" s="35" t="s">
        <v>429</v>
      </c>
      <c r="C87" s="36" t="s">
        <v>271</v>
      </c>
      <c r="D87" s="18">
        <v>29000</v>
      </c>
      <c r="E87" s="36">
        <v>28770</v>
      </c>
      <c r="F87" s="41" t="s">
        <v>430</v>
      </c>
      <c r="G87" s="1">
        <f t="shared" si="1"/>
        <v>14385</v>
      </c>
      <c r="H87" s="1"/>
      <c r="I87" s="1"/>
      <c r="J87" s="1"/>
      <c r="K87" s="1"/>
    </row>
    <row r="88" spans="1:11" ht="28.5" customHeight="1">
      <c r="A88" s="18">
        <v>82</v>
      </c>
      <c r="B88" s="35" t="s">
        <v>431</v>
      </c>
      <c r="C88" s="36" t="s">
        <v>271</v>
      </c>
      <c r="D88" s="18">
        <v>15000</v>
      </c>
      <c r="E88" s="36">
        <v>14970</v>
      </c>
      <c r="F88" s="41" t="s">
        <v>432</v>
      </c>
      <c r="G88" s="1">
        <f t="shared" si="1"/>
        <v>7485</v>
      </c>
      <c r="H88" s="1"/>
      <c r="I88" s="1"/>
      <c r="J88" s="1"/>
      <c r="K88" s="1"/>
    </row>
    <row r="89" spans="1:11" ht="28.5" customHeight="1">
      <c r="A89" s="18">
        <v>83</v>
      </c>
      <c r="B89" s="35" t="s">
        <v>433</v>
      </c>
      <c r="C89" s="36" t="s">
        <v>271</v>
      </c>
      <c r="D89" s="18">
        <v>50000</v>
      </c>
      <c r="E89" s="36">
        <v>49770</v>
      </c>
      <c r="F89" s="41" t="s">
        <v>434</v>
      </c>
      <c r="G89" s="1">
        <f t="shared" si="1"/>
        <v>24885</v>
      </c>
      <c r="H89" s="1"/>
      <c r="I89" s="1"/>
      <c r="J89" s="1"/>
      <c r="K89" s="1"/>
    </row>
    <row r="90" spans="1:11" ht="28.5" customHeight="1">
      <c r="A90" s="18">
        <v>84</v>
      </c>
      <c r="B90" s="35" t="s">
        <v>435</v>
      </c>
      <c r="C90" s="36" t="s">
        <v>271</v>
      </c>
      <c r="D90" s="18">
        <v>16000</v>
      </c>
      <c r="E90" s="36">
        <v>15820</v>
      </c>
      <c r="F90" s="41" t="s">
        <v>436</v>
      </c>
      <c r="G90" s="1">
        <f t="shared" si="1"/>
        <v>7910</v>
      </c>
      <c r="H90" s="1"/>
      <c r="I90" s="1"/>
      <c r="J90" s="1"/>
      <c r="K90" s="1"/>
    </row>
    <row r="91" spans="1:11" ht="28.5" customHeight="1">
      <c r="A91" s="18">
        <v>85</v>
      </c>
      <c r="B91" s="35" t="s">
        <v>437</v>
      </c>
      <c r="C91" s="36" t="s">
        <v>271</v>
      </c>
      <c r="D91" s="18">
        <v>12000</v>
      </c>
      <c r="E91" s="36">
        <v>11925</v>
      </c>
      <c r="F91" s="41" t="s">
        <v>438</v>
      </c>
      <c r="G91" s="1">
        <f t="shared" si="1"/>
        <v>5963</v>
      </c>
      <c r="H91" s="1"/>
      <c r="I91" s="1"/>
      <c r="J91" s="1"/>
      <c r="K91" s="1"/>
    </row>
    <row r="92" spans="1:11" ht="28.5" customHeight="1">
      <c r="A92" s="6">
        <v>86</v>
      </c>
      <c r="B92" s="7" t="s">
        <v>439</v>
      </c>
      <c r="C92" s="8" t="s">
        <v>271</v>
      </c>
      <c r="D92" s="6">
        <v>65000</v>
      </c>
      <c r="E92" s="8">
        <v>64725</v>
      </c>
      <c r="F92" s="42" t="s">
        <v>440</v>
      </c>
      <c r="G92" s="9">
        <f t="shared" si="1"/>
        <v>32363</v>
      </c>
      <c r="H92" s="9"/>
      <c r="I92" s="9"/>
      <c r="J92" s="9"/>
      <c r="K92" s="9"/>
    </row>
    <row r="93" spans="1:11" ht="28.5" customHeight="1">
      <c r="A93" s="22">
        <v>87</v>
      </c>
      <c r="B93" s="32" t="s">
        <v>441</v>
      </c>
      <c r="C93" s="24" t="s">
        <v>327</v>
      </c>
      <c r="D93" s="22">
        <v>50000</v>
      </c>
      <c r="E93" s="24">
        <v>49725</v>
      </c>
      <c r="F93" s="43" t="s">
        <v>442</v>
      </c>
      <c r="G93" s="25">
        <f t="shared" si="1"/>
        <v>24863</v>
      </c>
      <c r="H93" s="25"/>
      <c r="I93" s="25"/>
      <c r="J93" s="25"/>
      <c r="K93" s="25"/>
    </row>
    <row r="94" spans="1:11" ht="28.5" customHeight="1">
      <c r="A94" s="18">
        <v>88</v>
      </c>
      <c r="B94" s="35" t="s">
        <v>443</v>
      </c>
      <c r="C94" s="36" t="s">
        <v>322</v>
      </c>
      <c r="D94" s="18">
        <v>65000</v>
      </c>
      <c r="E94" s="36">
        <v>64725</v>
      </c>
      <c r="F94" s="41" t="s">
        <v>444</v>
      </c>
      <c r="G94" s="1">
        <f t="shared" si="1"/>
        <v>32363</v>
      </c>
      <c r="H94" s="1"/>
      <c r="I94" s="1"/>
      <c r="J94" s="1"/>
      <c r="K94" s="1"/>
    </row>
    <row r="95" spans="1:11" ht="28.5" customHeight="1">
      <c r="A95" s="18">
        <v>89</v>
      </c>
      <c r="B95" s="35" t="s">
        <v>445</v>
      </c>
      <c r="C95" s="36" t="s">
        <v>374</v>
      </c>
      <c r="D95" s="18">
        <v>35000</v>
      </c>
      <c r="E95" s="36">
        <v>34725</v>
      </c>
      <c r="F95" s="41" t="s">
        <v>446</v>
      </c>
      <c r="G95" s="1">
        <f t="shared" si="1"/>
        <v>17363</v>
      </c>
      <c r="H95" s="1"/>
      <c r="I95" s="1"/>
      <c r="J95" s="1"/>
      <c r="K95" s="1"/>
    </row>
    <row r="96" spans="1:11" ht="28.5" customHeight="1">
      <c r="A96" s="18">
        <v>90</v>
      </c>
      <c r="B96" s="35" t="s">
        <v>447</v>
      </c>
      <c r="C96" s="36" t="s">
        <v>374</v>
      </c>
      <c r="D96" s="18">
        <v>45000</v>
      </c>
      <c r="E96" s="36">
        <v>44725</v>
      </c>
      <c r="F96" s="41" t="s">
        <v>448</v>
      </c>
      <c r="G96" s="1">
        <f t="shared" si="1"/>
        <v>22363</v>
      </c>
      <c r="H96" s="1"/>
      <c r="I96" s="1"/>
      <c r="J96" s="1"/>
      <c r="K96" s="1"/>
    </row>
    <row r="97" spans="1:11" ht="28.5" customHeight="1">
      <c r="A97" s="18">
        <v>91</v>
      </c>
      <c r="B97" s="35" t="s">
        <v>449</v>
      </c>
      <c r="C97" s="36" t="s">
        <v>374</v>
      </c>
      <c r="D97" s="18">
        <v>35000</v>
      </c>
      <c r="E97" s="36">
        <v>34725</v>
      </c>
      <c r="F97" s="41" t="s">
        <v>450</v>
      </c>
      <c r="G97" s="1">
        <f t="shared" si="1"/>
        <v>17363</v>
      </c>
      <c r="H97" s="1"/>
      <c r="I97" s="1"/>
      <c r="J97" s="1"/>
      <c r="K97" s="1"/>
    </row>
    <row r="98" spans="1:11" ht="28.5" customHeight="1">
      <c r="A98" s="11">
        <v>92</v>
      </c>
      <c r="B98" s="12" t="s">
        <v>451</v>
      </c>
      <c r="C98" s="13" t="s">
        <v>374</v>
      </c>
      <c r="D98" s="11">
        <v>36000</v>
      </c>
      <c r="E98" s="13">
        <v>35725</v>
      </c>
      <c r="F98" s="44" t="s">
        <v>452</v>
      </c>
      <c r="G98" s="14">
        <f t="shared" si="1"/>
        <v>17863</v>
      </c>
      <c r="H98" s="14"/>
      <c r="I98" s="14"/>
      <c r="J98" s="14"/>
      <c r="K98" s="14"/>
    </row>
    <row r="99" spans="1:11" ht="28.5" customHeight="1">
      <c r="A99" s="11">
        <v>93</v>
      </c>
      <c r="B99" s="12" t="s">
        <v>453</v>
      </c>
      <c r="C99" s="13" t="s">
        <v>374</v>
      </c>
      <c r="D99" s="11">
        <v>35000</v>
      </c>
      <c r="E99" s="13">
        <v>34725</v>
      </c>
      <c r="F99" s="44" t="s">
        <v>454</v>
      </c>
      <c r="G99" s="14">
        <f t="shared" si="1"/>
        <v>17363</v>
      </c>
      <c r="H99" s="14"/>
      <c r="I99" s="14"/>
      <c r="J99" s="14"/>
      <c r="K99" s="14"/>
    </row>
    <row r="100" spans="1:11" ht="28.5" customHeight="1">
      <c r="A100" s="18">
        <v>94</v>
      </c>
      <c r="B100" s="35" t="s">
        <v>455</v>
      </c>
      <c r="C100" s="36" t="s">
        <v>374</v>
      </c>
      <c r="D100" s="18">
        <v>50000</v>
      </c>
      <c r="E100" s="36">
        <v>49725</v>
      </c>
      <c r="F100" s="41" t="s">
        <v>456</v>
      </c>
      <c r="G100" s="1">
        <f t="shared" si="1"/>
        <v>24863</v>
      </c>
      <c r="H100" s="1"/>
      <c r="I100" s="1"/>
      <c r="J100" s="1"/>
      <c r="K100" s="1"/>
    </row>
    <row r="101" spans="1:11" ht="28.5" customHeight="1">
      <c r="A101" s="18">
        <v>95</v>
      </c>
      <c r="B101" s="35" t="s">
        <v>457</v>
      </c>
      <c r="C101" s="36" t="s">
        <v>403</v>
      </c>
      <c r="D101" s="18">
        <v>75085</v>
      </c>
      <c r="E101" s="36">
        <v>74810</v>
      </c>
      <c r="F101" s="41" t="s">
        <v>458</v>
      </c>
      <c r="G101" s="1">
        <f t="shared" si="1"/>
        <v>37405</v>
      </c>
      <c r="H101" s="1"/>
      <c r="I101" s="1"/>
      <c r="J101" s="1"/>
      <c r="K101" s="1"/>
    </row>
    <row r="102" spans="1:11" ht="28.5" customHeight="1">
      <c r="A102" s="18">
        <v>96</v>
      </c>
      <c r="B102" s="35" t="s">
        <v>459</v>
      </c>
      <c r="C102" s="36" t="s">
        <v>460</v>
      </c>
      <c r="D102" s="18">
        <v>35000</v>
      </c>
      <c r="E102" s="36">
        <v>34725</v>
      </c>
      <c r="F102" s="41" t="s">
        <v>461</v>
      </c>
      <c r="G102" s="1">
        <f t="shared" si="1"/>
        <v>17363</v>
      </c>
      <c r="H102" s="1"/>
      <c r="I102" s="1"/>
      <c r="J102" s="1"/>
      <c r="K102" s="1"/>
    </row>
    <row r="103" spans="1:11" ht="28.5" customHeight="1">
      <c r="A103" s="18">
        <v>97</v>
      </c>
      <c r="B103" s="35" t="s">
        <v>462</v>
      </c>
      <c r="C103" s="36" t="s">
        <v>271</v>
      </c>
      <c r="D103" s="18">
        <v>20000</v>
      </c>
      <c r="E103" s="36">
        <v>19775</v>
      </c>
      <c r="F103" s="41" t="s">
        <v>463</v>
      </c>
      <c r="G103" s="1">
        <f t="shared" si="1"/>
        <v>9888</v>
      </c>
      <c r="H103" s="1"/>
      <c r="I103" s="1"/>
      <c r="J103" s="1"/>
      <c r="K103" s="1"/>
    </row>
    <row r="104" spans="1:11" ht="28.5" customHeight="1">
      <c r="A104" s="22">
        <v>98</v>
      </c>
      <c r="B104" s="32" t="s">
        <v>464</v>
      </c>
      <c r="C104" s="24" t="s">
        <v>271</v>
      </c>
      <c r="D104" s="22">
        <v>23000</v>
      </c>
      <c r="E104" s="24">
        <v>22770</v>
      </c>
      <c r="F104" s="43" t="s">
        <v>465</v>
      </c>
      <c r="G104" s="25">
        <f t="shared" si="1"/>
        <v>11385</v>
      </c>
      <c r="H104" s="25"/>
      <c r="I104" s="25"/>
      <c r="J104" s="25"/>
      <c r="K104" s="25"/>
    </row>
    <row r="105" spans="1:11" ht="28.5" customHeight="1">
      <c r="A105" s="22">
        <v>99</v>
      </c>
      <c r="B105" s="32" t="s">
        <v>466</v>
      </c>
      <c r="C105" s="24" t="s">
        <v>271</v>
      </c>
      <c r="D105" s="22">
        <v>37000</v>
      </c>
      <c r="E105" s="24">
        <v>36725</v>
      </c>
      <c r="F105" s="43" t="s">
        <v>467</v>
      </c>
      <c r="G105" s="25">
        <f t="shared" si="1"/>
        <v>18363</v>
      </c>
      <c r="H105" s="25"/>
      <c r="I105" s="25"/>
      <c r="J105" s="25"/>
      <c r="K105" s="25"/>
    </row>
    <row r="106" spans="1:11" ht="28.5" customHeight="1">
      <c r="A106" s="22"/>
      <c r="B106" s="32"/>
      <c r="C106" s="24"/>
      <c r="D106" s="22"/>
      <c r="E106" s="24"/>
      <c r="F106" s="22"/>
      <c r="G106" s="25"/>
      <c r="H106" s="25"/>
      <c r="I106" s="25"/>
      <c r="J106" s="25"/>
      <c r="K106" s="25"/>
    </row>
    <row r="107" spans="1:11" ht="28.5" customHeight="1">
      <c r="A107" s="18">
        <v>100</v>
      </c>
      <c r="B107" s="35" t="s">
        <v>468</v>
      </c>
      <c r="C107" s="36" t="s">
        <v>469</v>
      </c>
      <c r="D107" s="36">
        <v>74994</v>
      </c>
      <c r="E107" s="36">
        <v>71119</v>
      </c>
      <c r="F107" s="41" t="s">
        <v>470</v>
      </c>
      <c r="G107" s="1">
        <f t="shared" ref="G107:G159" si="2">ROUND(E107/2,0)</f>
        <v>35560</v>
      </c>
      <c r="H107" s="1"/>
      <c r="I107" s="1"/>
      <c r="J107" s="1"/>
      <c r="K107" s="1"/>
    </row>
    <row r="108" spans="1:11" ht="28.5" customHeight="1">
      <c r="A108" s="18">
        <v>101</v>
      </c>
      <c r="B108" s="35" t="s">
        <v>471</v>
      </c>
      <c r="C108" s="36" t="s">
        <v>266</v>
      </c>
      <c r="D108" s="18">
        <v>32905</v>
      </c>
      <c r="E108" s="36">
        <v>32630</v>
      </c>
      <c r="F108" s="41" t="s">
        <v>472</v>
      </c>
      <c r="G108" s="1">
        <f t="shared" si="2"/>
        <v>16315</v>
      </c>
      <c r="H108" s="1"/>
      <c r="I108" s="1"/>
      <c r="J108" s="1"/>
      <c r="K108" s="1"/>
    </row>
    <row r="109" spans="1:11" ht="28.5" customHeight="1">
      <c r="A109" s="18">
        <v>102</v>
      </c>
      <c r="B109" s="35" t="s">
        <v>473</v>
      </c>
      <c r="C109" s="36" t="s">
        <v>266</v>
      </c>
      <c r="D109" s="18">
        <v>32905</v>
      </c>
      <c r="E109" s="36">
        <v>32630</v>
      </c>
      <c r="F109" s="41" t="s">
        <v>474</v>
      </c>
      <c r="G109" s="1">
        <f t="shared" si="2"/>
        <v>16315</v>
      </c>
      <c r="H109" s="1"/>
      <c r="I109" s="1"/>
      <c r="J109" s="1"/>
      <c r="K109" s="1"/>
    </row>
    <row r="110" spans="1:11" ht="28.5" customHeight="1">
      <c r="A110" s="18">
        <v>103</v>
      </c>
      <c r="B110" s="35" t="s">
        <v>475</v>
      </c>
      <c r="C110" s="36" t="s">
        <v>271</v>
      </c>
      <c r="D110" s="18">
        <v>50000</v>
      </c>
      <c r="E110" s="36">
        <v>49725</v>
      </c>
      <c r="F110" s="41" t="s">
        <v>476</v>
      </c>
      <c r="G110" s="1">
        <f t="shared" si="2"/>
        <v>24863</v>
      </c>
      <c r="H110" s="1"/>
      <c r="I110" s="1"/>
      <c r="J110" s="1"/>
      <c r="K110" s="1"/>
    </row>
    <row r="111" spans="1:11" ht="28.5" customHeight="1">
      <c r="A111" s="18">
        <v>104</v>
      </c>
      <c r="B111" s="35" t="s">
        <v>477</v>
      </c>
      <c r="C111" s="36" t="s">
        <v>271</v>
      </c>
      <c r="D111" s="18">
        <v>35000</v>
      </c>
      <c r="E111" s="36">
        <v>34725</v>
      </c>
      <c r="F111" s="41" t="s">
        <v>478</v>
      </c>
      <c r="G111" s="1">
        <f t="shared" si="2"/>
        <v>17363</v>
      </c>
      <c r="H111" s="1"/>
      <c r="I111" s="1"/>
      <c r="J111" s="1"/>
      <c r="K111" s="1"/>
    </row>
    <row r="112" spans="1:11" ht="28.5" customHeight="1">
      <c r="A112" s="18">
        <v>105</v>
      </c>
      <c r="B112" s="35" t="s">
        <v>479</v>
      </c>
      <c r="C112" s="36" t="s">
        <v>271</v>
      </c>
      <c r="D112" s="18">
        <v>23460</v>
      </c>
      <c r="E112" s="36">
        <v>19585</v>
      </c>
      <c r="F112" s="41" t="s">
        <v>480</v>
      </c>
      <c r="G112" s="1">
        <f t="shared" si="2"/>
        <v>9793</v>
      </c>
      <c r="H112" s="1"/>
      <c r="I112" s="1"/>
      <c r="J112" s="1"/>
      <c r="K112" s="1"/>
    </row>
    <row r="113" spans="1:11" ht="28.5" customHeight="1">
      <c r="A113" s="18">
        <v>106</v>
      </c>
      <c r="B113" s="35" t="s">
        <v>481</v>
      </c>
      <c r="C113" s="36" t="s">
        <v>271</v>
      </c>
      <c r="D113" s="18">
        <v>35000</v>
      </c>
      <c r="E113" s="36">
        <v>34725</v>
      </c>
      <c r="F113" s="41" t="s">
        <v>482</v>
      </c>
      <c r="G113" s="1">
        <f t="shared" si="2"/>
        <v>17363</v>
      </c>
      <c r="H113" s="1"/>
      <c r="I113" s="1"/>
      <c r="J113" s="1"/>
      <c r="K113" s="1"/>
    </row>
    <row r="114" spans="1:11" ht="28.5" customHeight="1">
      <c r="A114" s="18">
        <v>107</v>
      </c>
      <c r="B114" s="35" t="s">
        <v>483</v>
      </c>
      <c r="C114" s="36" t="s">
        <v>484</v>
      </c>
      <c r="D114" s="36">
        <v>110277</v>
      </c>
      <c r="E114" s="36">
        <v>106402</v>
      </c>
      <c r="F114" s="41" t="s">
        <v>485</v>
      </c>
      <c r="G114" s="1">
        <f t="shared" si="2"/>
        <v>53201</v>
      </c>
      <c r="H114" s="1"/>
      <c r="I114" s="1"/>
      <c r="J114" s="1"/>
      <c r="K114" s="1"/>
    </row>
    <row r="115" spans="1:11" ht="28.5" customHeight="1">
      <c r="A115" s="18">
        <v>108</v>
      </c>
      <c r="B115" s="35" t="s">
        <v>486</v>
      </c>
      <c r="C115" s="36" t="s">
        <v>487</v>
      </c>
      <c r="D115" s="18">
        <v>54103</v>
      </c>
      <c r="E115" s="36">
        <v>53962</v>
      </c>
      <c r="F115" s="41" t="s">
        <v>488</v>
      </c>
      <c r="G115" s="1">
        <f t="shared" si="2"/>
        <v>26981</v>
      </c>
      <c r="H115" s="1"/>
      <c r="I115" s="1"/>
      <c r="J115" s="1"/>
      <c r="K115" s="1"/>
    </row>
    <row r="116" spans="1:11" ht="28.5" customHeight="1">
      <c r="A116" s="18">
        <v>109</v>
      </c>
      <c r="B116" s="35" t="s">
        <v>489</v>
      </c>
      <c r="C116" s="36" t="s">
        <v>266</v>
      </c>
      <c r="D116" s="18">
        <v>42275</v>
      </c>
      <c r="E116" s="36">
        <v>42000</v>
      </c>
      <c r="F116" s="41" t="s">
        <v>490</v>
      </c>
      <c r="G116" s="1">
        <f t="shared" si="2"/>
        <v>21000</v>
      </c>
      <c r="H116" s="1"/>
      <c r="I116" s="1"/>
      <c r="J116" s="1"/>
      <c r="K116" s="1"/>
    </row>
    <row r="117" spans="1:11" ht="28.5" customHeight="1">
      <c r="A117" s="18">
        <v>110</v>
      </c>
      <c r="B117" s="35" t="s">
        <v>491</v>
      </c>
      <c r="C117" s="36" t="s">
        <v>492</v>
      </c>
      <c r="D117" s="18">
        <v>75085</v>
      </c>
      <c r="E117" s="36">
        <v>71210</v>
      </c>
      <c r="F117" s="41" t="s">
        <v>493</v>
      </c>
      <c r="G117" s="1">
        <f t="shared" si="2"/>
        <v>35605</v>
      </c>
      <c r="H117" s="1"/>
      <c r="I117" s="1"/>
      <c r="J117" s="1"/>
      <c r="K117" s="1"/>
    </row>
    <row r="118" spans="1:11" ht="28.5" customHeight="1">
      <c r="A118" s="18">
        <v>111</v>
      </c>
      <c r="B118" s="35" t="s">
        <v>494</v>
      </c>
      <c r="C118" s="36" t="s">
        <v>495</v>
      </c>
      <c r="D118" s="18">
        <v>170000</v>
      </c>
      <c r="E118" s="36">
        <v>169725</v>
      </c>
      <c r="F118" s="41" t="s">
        <v>496</v>
      </c>
      <c r="G118" s="1">
        <f t="shared" si="2"/>
        <v>84863</v>
      </c>
      <c r="H118" s="1"/>
      <c r="I118" s="1"/>
      <c r="J118" s="1"/>
      <c r="K118" s="1"/>
    </row>
    <row r="119" spans="1:11" ht="28.5" customHeight="1">
      <c r="A119" s="18">
        <v>112</v>
      </c>
      <c r="B119" s="35" t="s">
        <v>497</v>
      </c>
      <c r="C119" s="36" t="s">
        <v>271</v>
      </c>
      <c r="D119" s="18">
        <v>24460</v>
      </c>
      <c r="E119" s="36">
        <v>24185</v>
      </c>
      <c r="F119" s="41" t="s">
        <v>498</v>
      </c>
      <c r="G119" s="1">
        <f t="shared" si="2"/>
        <v>12093</v>
      </c>
      <c r="H119" s="1"/>
      <c r="I119" s="1"/>
      <c r="J119" s="1"/>
      <c r="K119" s="1"/>
    </row>
    <row r="120" spans="1:11" ht="28.5" customHeight="1">
      <c r="A120" s="18">
        <v>113</v>
      </c>
      <c r="B120" s="20" t="s">
        <v>499</v>
      </c>
      <c r="C120" s="36" t="s">
        <v>271</v>
      </c>
      <c r="D120" s="18">
        <v>23460</v>
      </c>
      <c r="E120" s="36">
        <v>23185</v>
      </c>
      <c r="F120" s="41" t="s">
        <v>500</v>
      </c>
      <c r="G120" s="1">
        <f t="shared" si="2"/>
        <v>11593</v>
      </c>
      <c r="H120" s="1"/>
      <c r="I120" s="1"/>
      <c r="J120" s="1"/>
      <c r="K120" s="1"/>
    </row>
    <row r="121" spans="1:11" ht="28.5" customHeight="1">
      <c r="A121" s="18">
        <v>114</v>
      </c>
      <c r="B121" s="35" t="s">
        <v>501</v>
      </c>
      <c r="C121" s="36" t="s">
        <v>271</v>
      </c>
      <c r="D121" s="18">
        <v>39632</v>
      </c>
      <c r="E121" s="36">
        <v>40020</v>
      </c>
      <c r="F121" s="41" t="s">
        <v>502</v>
      </c>
      <c r="G121" s="1">
        <f t="shared" si="2"/>
        <v>20010</v>
      </c>
      <c r="H121" s="1"/>
      <c r="I121" s="1"/>
      <c r="J121" s="1"/>
      <c r="K121" s="1"/>
    </row>
    <row r="122" spans="1:11" ht="28.5" customHeight="1">
      <c r="A122" s="18">
        <v>115</v>
      </c>
      <c r="B122" s="35" t="s">
        <v>503</v>
      </c>
      <c r="C122" s="36" t="s">
        <v>271</v>
      </c>
      <c r="D122" s="18">
        <v>20460</v>
      </c>
      <c r="E122" s="36">
        <v>20185</v>
      </c>
      <c r="F122" s="41" t="s">
        <v>504</v>
      </c>
      <c r="G122" s="1">
        <f t="shared" si="2"/>
        <v>10093</v>
      </c>
      <c r="H122" s="1"/>
      <c r="I122" s="1"/>
      <c r="J122" s="1"/>
      <c r="K122" s="1"/>
    </row>
    <row r="123" spans="1:11" ht="28.5" customHeight="1">
      <c r="A123" s="18">
        <v>116</v>
      </c>
      <c r="B123" s="35" t="s">
        <v>505</v>
      </c>
      <c r="C123" s="36" t="s">
        <v>271</v>
      </c>
      <c r="D123" s="18">
        <v>18260</v>
      </c>
      <c r="E123" s="36">
        <v>18035</v>
      </c>
      <c r="F123" s="41" t="s">
        <v>506</v>
      </c>
      <c r="G123" s="1">
        <f t="shared" si="2"/>
        <v>9018</v>
      </c>
      <c r="H123" s="1"/>
      <c r="I123" s="1"/>
      <c r="J123" s="1"/>
      <c r="K123" s="1"/>
    </row>
    <row r="124" spans="1:11" ht="28.5" customHeight="1">
      <c r="A124" s="18">
        <v>117</v>
      </c>
      <c r="B124" s="35" t="s">
        <v>507</v>
      </c>
      <c r="C124" s="36" t="s">
        <v>271</v>
      </c>
      <c r="D124" s="18">
        <v>25000</v>
      </c>
      <c r="E124" s="18">
        <v>24725</v>
      </c>
      <c r="F124" s="41" t="s">
        <v>508</v>
      </c>
      <c r="G124" s="1">
        <f t="shared" si="2"/>
        <v>12363</v>
      </c>
      <c r="H124" s="1"/>
      <c r="I124" s="1"/>
      <c r="J124" s="1"/>
      <c r="K124" s="1"/>
    </row>
    <row r="125" spans="1:11" ht="28.5" customHeight="1">
      <c r="A125" s="18">
        <v>118</v>
      </c>
      <c r="B125" s="35" t="s">
        <v>509</v>
      </c>
      <c r="C125" s="36" t="s">
        <v>271</v>
      </c>
      <c r="D125" s="18">
        <v>25000</v>
      </c>
      <c r="E125" s="18">
        <v>24725</v>
      </c>
      <c r="F125" s="41" t="s">
        <v>510</v>
      </c>
      <c r="G125" s="1">
        <f t="shared" si="2"/>
        <v>12363</v>
      </c>
      <c r="H125" s="1"/>
      <c r="I125" s="1"/>
      <c r="J125" s="1"/>
      <c r="K125" s="1"/>
    </row>
    <row r="126" spans="1:11" ht="28.5" customHeight="1">
      <c r="A126" s="18">
        <v>119</v>
      </c>
      <c r="B126" s="35" t="s">
        <v>511</v>
      </c>
      <c r="C126" s="36" t="s">
        <v>427</v>
      </c>
      <c r="D126" s="18">
        <v>52000</v>
      </c>
      <c r="E126" s="18">
        <v>51725</v>
      </c>
      <c r="F126" s="41" t="s">
        <v>512</v>
      </c>
      <c r="G126" s="1">
        <f t="shared" si="2"/>
        <v>25863</v>
      </c>
      <c r="H126" s="1"/>
      <c r="I126" s="1"/>
      <c r="J126" s="1"/>
      <c r="K126" s="1"/>
    </row>
    <row r="127" spans="1:11" ht="28.5" customHeight="1">
      <c r="A127" s="18">
        <v>120</v>
      </c>
      <c r="B127" s="35" t="s">
        <v>513</v>
      </c>
      <c r="C127" s="36" t="s">
        <v>271</v>
      </c>
      <c r="D127" s="18">
        <v>22000</v>
      </c>
      <c r="E127" s="36">
        <v>21770</v>
      </c>
      <c r="F127" s="41" t="s">
        <v>514</v>
      </c>
      <c r="G127" s="1">
        <f t="shared" si="2"/>
        <v>10885</v>
      </c>
      <c r="H127" s="1"/>
      <c r="I127" s="1"/>
      <c r="J127" s="1"/>
      <c r="K127" s="1"/>
    </row>
    <row r="128" spans="1:11" ht="28.5" customHeight="1">
      <c r="A128" s="11">
        <v>121</v>
      </c>
      <c r="B128" s="12" t="s">
        <v>515</v>
      </c>
      <c r="C128" s="13" t="s">
        <v>516</v>
      </c>
      <c r="D128" s="11">
        <v>15000</v>
      </c>
      <c r="E128" s="11">
        <v>15000</v>
      </c>
      <c r="F128" s="44" t="s">
        <v>517</v>
      </c>
      <c r="G128" s="14">
        <f t="shared" si="2"/>
        <v>7500</v>
      </c>
      <c r="H128" s="14"/>
      <c r="I128" s="14"/>
      <c r="J128" s="14"/>
      <c r="K128" s="14"/>
    </row>
    <row r="129" spans="1:11" ht="28.5" customHeight="1">
      <c r="A129" s="18">
        <v>122</v>
      </c>
      <c r="B129" s="35" t="s">
        <v>518</v>
      </c>
      <c r="C129" s="36" t="s">
        <v>266</v>
      </c>
      <c r="D129" s="18">
        <v>51516</v>
      </c>
      <c r="E129" s="36">
        <v>51241</v>
      </c>
      <c r="F129" s="41" t="s">
        <v>519</v>
      </c>
      <c r="G129" s="1">
        <f t="shared" si="2"/>
        <v>25621</v>
      </c>
      <c r="H129" s="1"/>
      <c r="I129" s="1"/>
      <c r="J129" s="1"/>
      <c r="K129" s="1"/>
    </row>
    <row r="130" spans="1:11" ht="28.5" customHeight="1">
      <c r="A130" s="18">
        <v>123</v>
      </c>
      <c r="B130" s="35" t="s">
        <v>520</v>
      </c>
      <c r="C130" s="36" t="s">
        <v>521</v>
      </c>
      <c r="D130" s="18">
        <v>62759</v>
      </c>
      <c r="E130" s="36">
        <v>58884</v>
      </c>
      <c r="F130" s="41" t="s">
        <v>522</v>
      </c>
      <c r="G130" s="1">
        <f t="shared" si="2"/>
        <v>29442</v>
      </c>
      <c r="H130" s="1"/>
      <c r="I130" s="1"/>
      <c r="J130" s="1"/>
      <c r="K130" s="1"/>
    </row>
    <row r="131" spans="1:11" ht="28.5" customHeight="1">
      <c r="A131" s="18">
        <v>124</v>
      </c>
      <c r="B131" s="35" t="s">
        <v>523</v>
      </c>
      <c r="C131" s="36" t="s">
        <v>266</v>
      </c>
      <c r="D131" s="36">
        <v>30000</v>
      </c>
      <c r="E131" s="36">
        <v>26125</v>
      </c>
      <c r="F131" s="41" t="s">
        <v>524</v>
      </c>
      <c r="G131" s="1">
        <f t="shared" si="2"/>
        <v>13063</v>
      </c>
      <c r="H131" s="1"/>
      <c r="I131" s="1"/>
      <c r="J131" s="1"/>
      <c r="K131" s="1"/>
    </row>
    <row r="132" spans="1:11" ht="28.5" customHeight="1">
      <c r="A132" s="18">
        <v>125</v>
      </c>
      <c r="B132" s="35" t="s">
        <v>525</v>
      </c>
      <c r="C132" s="36" t="s">
        <v>271</v>
      </c>
      <c r="D132" s="18">
        <v>35000</v>
      </c>
      <c r="E132" s="36">
        <v>34725</v>
      </c>
      <c r="F132" s="41" t="s">
        <v>526</v>
      </c>
      <c r="G132" s="1">
        <f t="shared" si="2"/>
        <v>17363</v>
      </c>
      <c r="H132" s="1"/>
      <c r="I132" s="1"/>
      <c r="J132" s="1"/>
      <c r="K132" s="1"/>
    </row>
    <row r="133" spans="1:11" ht="28.5" customHeight="1">
      <c r="A133" s="18">
        <v>126</v>
      </c>
      <c r="B133" s="35" t="s">
        <v>527</v>
      </c>
      <c r="C133" s="36" t="s">
        <v>322</v>
      </c>
      <c r="D133" s="18">
        <v>50000</v>
      </c>
      <c r="E133" s="36">
        <v>49725</v>
      </c>
      <c r="F133" s="41" t="s">
        <v>528</v>
      </c>
      <c r="G133" s="1">
        <f t="shared" si="2"/>
        <v>24863</v>
      </c>
      <c r="H133" s="1"/>
      <c r="I133" s="1"/>
      <c r="J133" s="1"/>
      <c r="K133" s="1"/>
    </row>
    <row r="134" spans="1:11" ht="28.5" customHeight="1">
      <c r="A134" s="18">
        <v>127</v>
      </c>
      <c r="B134" s="35" t="s">
        <v>529</v>
      </c>
      <c r="C134" s="36" t="s">
        <v>271</v>
      </c>
      <c r="D134" s="36">
        <v>30000</v>
      </c>
      <c r="E134" s="36">
        <v>29725</v>
      </c>
      <c r="F134" s="41" t="s">
        <v>530</v>
      </c>
      <c r="G134" s="1">
        <f t="shared" si="2"/>
        <v>14863</v>
      </c>
      <c r="H134" s="1"/>
      <c r="I134" s="1"/>
      <c r="J134" s="1"/>
      <c r="K134" s="1"/>
    </row>
    <row r="135" spans="1:11" ht="28.5" customHeight="1">
      <c r="A135" s="18">
        <v>128</v>
      </c>
      <c r="B135" s="35" t="s">
        <v>531</v>
      </c>
      <c r="C135" s="36" t="s">
        <v>271</v>
      </c>
      <c r="D135" s="18">
        <v>24460</v>
      </c>
      <c r="E135" s="36">
        <v>24185</v>
      </c>
      <c r="F135" s="41" t="s">
        <v>532</v>
      </c>
      <c r="G135" s="1">
        <f t="shared" si="2"/>
        <v>12093</v>
      </c>
      <c r="H135" s="1"/>
      <c r="I135" s="1"/>
      <c r="J135" s="1"/>
      <c r="K135" s="1"/>
    </row>
    <row r="136" spans="1:11" ht="28.5" customHeight="1">
      <c r="A136" s="18">
        <v>129</v>
      </c>
      <c r="B136" s="35" t="s">
        <v>533</v>
      </c>
      <c r="C136" s="36" t="s">
        <v>271</v>
      </c>
      <c r="D136" s="36">
        <v>23000</v>
      </c>
      <c r="E136" s="36">
        <v>22725</v>
      </c>
      <c r="F136" s="41" t="s">
        <v>534</v>
      </c>
      <c r="G136" s="1">
        <f t="shared" si="2"/>
        <v>11363</v>
      </c>
      <c r="H136" s="1"/>
      <c r="I136" s="1"/>
      <c r="J136" s="1"/>
      <c r="K136" s="1"/>
    </row>
    <row r="137" spans="1:11" ht="28.5" customHeight="1">
      <c r="A137" s="18">
        <v>130</v>
      </c>
      <c r="B137" s="35" t="s">
        <v>535</v>
      </c>
      <c r="C137" s="36" t="s">
        <v>271</v>
      </c>
      <c r="D137" s="18">
        <v>32460</v>
      </c>
      <c r="E137" s="36">
        <v>32185</v>
      </c>
      <c r="F137" s="41" t="s">
        <v>536</v>
      </c>
      <c r="G137" s="1">
        <f t="shared" si="2"/>
        <v>16093</v>
      </c>
      <c r="H137" s="1"/>
      <c r="I137" s="1"/>
      <c r="J137" s="1"/>
      <c r="K137" s="1"/>
    </row>
    <row r="138" spans="1:11" ht="28.5" customHeight="1">
      <c r="A138" s="18">
        <v>131</v>
      </c>
      <c r="B138" s="35" t="s">
        <v>537</v>
      </c>
      <c r="C138" s="36" t="s">
        <v>271</v>
      </c>
      <c r="D138" s="36">
        <v>22000</v>
      </c>
      <c r="E138" s="36">
        <v>21725</v>
      </c>
      <c r="F138" s="41" t="s">
        <v>538</v>
      </c>
      <c r="G138" s="1">
        <f t="shared" si="2"/>
        <v>10863</v>
      </c>
      <c r="H138" s="1"/>
      <c r="I138" s="1"/>
      <c r="J138" s="1"/>
      <c r="K138" s="1"/>
    </row>
    <row r="139" spans="1:11" ht="28.5" customHeight="1">
      <c r="A139" s="18">
        <v>132</v>
      </c>
      <c r="B139" s="35" t="s">
        <v>539</v>
      </c>
      <c r="C139" s="36" t="s">
        <v>271</v>
      </c>
      <c r="D139" s="18">
        <v>35000</v>
      </c>
      <c r="E139" s="36">
        <v>34725</v>
      </c>
      <c r="F139" s="41" t="s">
        <v>540</v>
      </c>
      <c r="G139" s="1">
        <f t="shared" si="2"/>
        <v>17363</v>
      </c>
      <c r="H139" s="1"/>
      <c r="I139" s="1"/>
      <c r="J139" s="1"/>
      <c r="K139" s="1"/>
    </row>
    <row r="140" spans="1:11" ht="28.5" customHeight="1">
      <c r="A140" s="18">
        <v>133</v>
      </c>
      <c r="B140" s="35" t="s">
        <v>541</v>
      </c>
      <c r="C140" s="36" t="s">
        <v>271</v>
      </c>
      <c r="D140" s="36">
        <v>30000</v>
      </c>
      <c r="E140" s="36">
        <v>29725</v>
      </c>
      <c r="F140" s="41" t="s">
        <v>542</v>
      </c>
      <c r="G140" s="1">
        <f t="shared" si="2"/>
        <v>14863</v>
      </c>
      <c r="H140" s="1"/>
      <c r="I140" s="1"/>
      <c r="J140" s="1"/>
      <c r="K140" s="1"/>
    </row>
    <row r="141" spans="1:11" ht="28.5" customHeight="1">
      <c r="A141" s="18">
        <v>134</v>
      </c>
      <c r="B141" s="35" t="s">
        <v>543</v>
      </c>
      <c r="C141" s="36" t="s">
        <v>271</v>
      </c>
      <c r="D141" s="36">
        <v>17500</v>
      </c>
      <c r="E141" s="36">
        <v>17275</v>
      </c>
      <c r="F141" s="41" t="s">
        <v>544</v>
      </c>
      <c r="G141" s="1">
        <f t="shared" si="2"/>
        <v>8638</v>
      </c>
      <c r="H141" s="1"/>
      <c r="I141" s="1"/>
      <c r="J141" s="1"/>
      <c r="K141" s="1"/>
    </row>
    <row r="142" spans="1:11" ht="28.5" customHeight="1">
      <c r="A142" s="18">
        <v>135</v>
      </c>
      <c r="B142" s="35" t="s">
        <v>545</v>
      </c>
      <c r="C142" s="36" t="s">
        <v>271</v>
      </c>
      <c r="D142" s="36">
        <v>18000</v>
      </c>
      <c r="E142" s="36">
        <v>17775</v>
      </c>
      <c r="F142" s="41" t="s">
        <v>546</v>
      </c>
      <c r="G142" s="1">
        <f t="shared" si="2"/>
        <v>8888</v>
      </c>
      <c r="H142" s="1"/>
      <c r="I142" s="1"/>
      <c r="J142" s="1"/>
      <c r="K142" s="1"/>
    </row>
    <row r="143" spans="1:11" ht="28.5" customHeight="1">
      <c r="A143" s="18">
        <v>136</v>
      </c>
      <c r="B143" s="35" t="s">
        <v>547</v>
      </c>
      <c r="C143" s="36" t="s">
        <v>271</v>
      </c>
      <c r="D143" s="36">
        <v>20000</v>
      </c>
      <c r="E143" s="36">
        <v>19775</v>
      </c>
      <c r="F143" s="41" t="s">
        <v>548</v>
      </c>
      <c r="G143" s="1">
        <f t="shared" si="2"/>
        <v>9888</v>
      </c>
      <c r="H143" s="1"/>
      <c r="I143" s="1"/>
      <c r="J143" s="1"/>
      <c r="K143" s="1"/>
    </row>
    <row r="144" spans="1:11" ht="28.5" customHeight="1">
      <c r="A144" s="18">
        <v>137</v>
      </c>
      <c r="B144" s="35" t="s">
        <v>549</v>
      </c>
      <c r="C144" s="36" t="s">
        <v>271</v>
      </c>
      <c r="D144" s="36">
        <v>18000</v>
      </c>
      <c r="E144" s="36">
        <v>17775</v>
      </c>
      <c r="F144" s="41" t="s">
        <v>550</v>
      </c>
      <c r="G144" s="1">
        <f t="shared" si="2"/>
        <v>8888</v>
      </c>
      <c r="H144" s="1"/>
      <c r="I144" s="1"/>
      <c r="J144" s="1"/>
      <c r="K144" s="1"/>
    </row>
    <row r="145" spans="1:11" ht="28.5" customHeight="1">
      <c r="A145" s="18">
        <v>138</v>
      </c>
      <c r="B145" s="35" t="s">
        <v>551</v>
      </c>
      <c r="C145" s="36" t="s">
        <v>271</v>
      </c>
      <c r="D145" s="36">
        <v>29000</v>
      </c>
      <c r="E145" s="36">
        <v>28725</v>
      </c>
      <c r="F145" s="41" t="s">
        <v>552</v>
      </c>
      <c r="G145" s="1">
        <f t="shared" si="2"/>
        <v>14363</v>
      </c>
      <c r="H145" s="1"/>
      <c r="I145" s="1"/>
      <c r="J145" s="1"/>
      <c r="K145" s="1"/>
    </row>
    <row r="146" spans="1:11" ht="28.5" customHeight="1">
      <c r="A146" s="18">
        <v>139</v>
      </c>
      <c r="B146" s="35" t="s">
        <v>553</v>
      </c>
      <c r="C146" s="36" t="s">
        <v>271</v>
      </c>
      <c r="D146" s="36">
        <v>18000</v>
      </c>
      <c r="E146" s="36">
        <v>17775</v>
      </c>
      <c r="F146" s="41" t="s">
        <v>554</v>
      </c>
      <c r="G146" s="1">
        <f t="shared" si="2"/>
        <v>8888</v>
      </c>
      <c r="H146" s="1"/>
      <c r="I146" s="1"/>
      <c r="J146" s="1"/>
      <c r="K146" s="1"/>
    </row>
    <row r="147" spans="1:11" ht="28.5" customHeight="1">
      <c r="A147" s="18">
        <v>140</v>
      </c>
      <c r="B147" s="35" t="s">
        <v>555</v>
      </c>
      <c r="C147" s="36" t="s">
        <v>271</v>
      </c>
      <c r="D147" s="36">
        <v>18000</v>
      </c>
      <c r="E147" s="36">
        <v>17775</v>
      </c>
      <c r="F147" s="41" t="s">
        <v>556</v>
      </c>
      <c r="G147" s="1">
        <f t="shared" si="2"/>
        <v>8888</v>
      </c>
      <c r="H147" s="1"/>
      <c r="I147" s="1"/>
      <c r="J147" s="1"/>
      <c r="K147" s="1"/>
    </row>
    <row r="148" spans="1:11" ht="28.5" customHeight="1">
      <c r="A148" s="18">
        <v>141</v>
      </c>
      <c r="B148" s="35" t="s">
        <v>557</v>
      </c>
      <c r="C148" s="36" t="s">
        <v>271</v>
      </c>
      <c r="D148" s="36">
        <v>26000</v>
      </c>
      <c r="E148" s="36">
        <v>25725</v>
      </c>
      <c r="F148" s="41" t="s">
        <v>558</v>
      </c>
      <c r="G148" s="1">
        <f t="shared" si="2"/>
        <v>12863</v>
      </c>
      <c r="H148" s="1"/>
      <c r="I148" s="1"/>
      <c r="J148" s="1"/>
      <c r="K148" s="1"/>
    </row>
    <row r="149" spans="1:11" ht="28.5" customHeight="1">
      <c r="A149" s="22">
        <v>142</v>
      </c>
      <c r="B149" s="32" t="s">
        <v>559</v>
      </c>
      <c r="C149" s="24" t="s">
        <v>271</v>
      </c>
      <c r="D149" s="24">
        <v>18000</v>
      </c>
      <c r="E149" s="24">
        <v>17775</v>
      </c>
      <c r="F149" s="43" t="s">
        <v>560</v>
      </c>
      <c r="G149" s="25">
        <f t="shared" si="2"/>
        <v>8888</v>
      </c>
      <c r="H149" s="25"/>
      <c r="I149" s="25"/>
      <c r="J149" s="25"/>
      <c r="K149" s="25"/>
    </row>
    <row r="150" spans="1:11" ht="28.5" customHeight="1">
      <c r="A150" s="18">
        <v>143</v>
      </c>
      <c r="B150" s="35" t="s">
        <v>561</v>
      </c>
      <c r="C150" s="36" t="s">
        <v>271</v>
      </c>
      <c r="D150" s="36">
        <v>21000</v>
      </c>
      <c r="E150" s="36">
        <v>20725</v>
      </c>
      <c r="F150" s="41" t="s">
        <v>562</v>
      </c>
      <c r="G150" s="1">
        <f t="shared" si="2"/>
        <v>10363</v>
      </c>
      <c r="H150" s="1"/>
      <c r="I150" s="1"/>
      <c r="J150" s="1"/>
      <c r="K150" s="1"/>
    </row>
    <row r="151" spans="1:11" ht="28.5" customHeight="1">
      <c r="A151" s="22">
        <v>144</v>
      </c>
      <c r="B151" s="32" t="s">
        <v>563</v>
      </c>
      <c r="C151" s="24" t="s">
        <v>271</v>
      </c>
      <c r="D151" s="24">
        <v>20000</v>
      </c>
      <c r="E151" s="24">
        <v>19775</v>
      </c>
      <c r="F151" s="43" t="s">
        <v>564</v>
      </c>
      <c r="G151" s="25">
        <f t="shared" si="2"/>
        <v>9888</v>
      </c>
      <c r="H151" s="25"/>
      <c r="I151" s="25"/>
      <c r="J151" s="25"/>
      <c r="K151" s="25"/>
    </row>
    <row r="152" spans="1:11" ht="28.5" customHeight="1">
      <c r="A152" s="22">
        <v>145</v>
      </c>
      <c r="B152" s="32" t="s">
        <v>565</v>
      </c>
      <c r="C152" s="24" t="s">
        <v>271</v>
      </c>
      <c r="D152" s="24">
        <v>25000</v>
      </c>
      <c r="E152" s="24">
        <v>24725</v>
      </c>
      <c r="F152" s="43" t="s">
        <v>566</v>
      </c>
      <c r="G152" s="25">
        <f t="shared" si="2"/>
        <v>12363</v>
      </c>
      <c r="H152" s="25"/>
      <c r="I152" s="25"/>
      <c r="J152" s="25"/>
      <c r="K152" s="25"/>
    </row>
    <row r="153" spans="1:11" ht="28.5" customHeight="1">
      <c r="A153" s="18">
        <v>146</v>
      </c>
      <c r="B153" s="35" t="s">
        <v>567</v>
      </c>
      <c r="C153" s="36" t="s">
        <v>427</v>
      </c>
      <c r="D153" s="18">
        <v>52000</v>
      </c>
      <c r="E153" s="36">
        <v>51725</v>
      </c>
      <c r="F153" s="41" t="s">
        <v>568</v>
      </c>
      <c r="G153" s="1">
        <f t="shared" si="2"/>
        <v>25863</v>
      </c>
      <c r="H153" s="1"/>
      <c r="I153" s="1"/>
      <c r="J153" s="1"/>
      <c r="K153" s="1"/>
    </row>
    <row r="154" spans="1:11" ht="28.5" customHeight="1">
      <c r="A154" s="18">
        <v>147</v>
      </c>
      <c r="B154" s="35" t="s">
        <v>569</v>
      </c>
      <c r="C154" s="36" t="s">
        <v>427</v>
      </c>
      <c r="D154" s="18">
        <v>52000</v>
      </c>
      <c r="E154" s="36">
        <v>51725</v>
      </c>
      <c r="F154" s="41" t="s">
        <v>570</v>
      </c>
      <c r="G154" s="1">
        <f t="shared" si="2"/>
        <v>25863</v>
      </c>
      <c r="H154" s="1"/>
      <c r="I154" s="1"/>
      <c r="J154" s="1"/>
      <c r="K154" s="1"/>
    </row>
    <row r="155" spans="1:11" ht="28.5" customHeight="1">
      <c r="A155" s="18">
        <v>148</v>
      </c>
      <c r="B155" s="35" t="s">
        <v>571</v>
      </c>
      <c r="C155" s="36" t="s">
        <v>374</v>
      </c>
      <c r="D155" s="18">
        <v>18000</v>
      </c>
      <c r="E155" s="36">
        <v>17775</v>
      </c>
      <c r="F155" s="41" t="s">
        <v>572</v>
      </c>
      <c r="G155" s="1">
        <f t="shared" si="2"/>
        <v>8888</v>
      </c>
      <c r="H155" s="1"/>
      <c r="I155" s="1"/>
      <c r="J155" s="1"/>
      <c r="K155" s="1"/>
    </row>
    <row r="156" spans="1:11" ht="28.5" customHeight="1">
      <c r="A156" s="18">
        <v>149</v>
      </c>
      <c r="B156" s="35" t="s">
        <v>573</v>
      </c>
      <c r="C156" s="36" t="s">
        <v>374</v>
      </c>
      <c r="D156" s="18">
        <v>18000</v>
      </c>
      <c r="E156" s="36">
        <v>17775</v>
      </c>
      <c r="F156" s="41" t="s">
        <v>574</v>
      </c>
      <c r="G156" s="1">
        <f t="shared" si="2"/>
        <v>8888</v>
      </c>
      <c r="H156" s="1"/>
      <c r="I156" s="1"/>
      <c r="J156" s="1"/>
      <c r="K156" s="1"/>
    </row>
    <row r="157" spans="1:11" ht="28.5" customHeight="1">
      <c r="A157" s="18">
        <v>150</v>
      </c>
      <c r="B157" s="35" t="s">
        <v>575</v>
      </c>
      <c r="C157" s="36" t="s">
        <v>322</v>
      </c>
      <c r="D157" s="18">
        <v>30000</v>
      </c>
      <c r="E157" s="36">
        <v>29725</v>
      </c>
      <c r="F157" s="41" t="s">
        <v>576</v>
      </c>
      <c r="G157" s="1">
        <f t="shared" si="2"/>
        <v>14863</v>
      </c>
      <c r="H157" s="1"/>
      <c r="I157" s="1"/>
      <c r="J157" s="1"/>
      <c r="K157" s="1"/>
    </row>
    <row r="158" spans="1:11" ht="28.5" customHeight="1">
      <c r="A158" s="18">
        <v>151</v>
      </c>
      <c r="B158" s="35" t="s">
        <v>577</v>
      </c>
      <c r="C158" s="36" t="s">
        <v>271</v>
      </c>
      <c r="D158" s="18">
        <v>25000</v>
      </c>
      <c r="E158" s="36">
        <v>24725</v>
      </c>
      <c r="F158" s="41" t="s">
        <v>578</v>
      </c>
      <c r="G158" s="1">
        <f t="shared" si="2"/>
        <v>12363</v>
      </c>
      <c r="H158" s="1"/>
      <c r="I158" s="1"/>
      <c r="J158" s="1"/>
      <c r="K158" s="1"/>
    </row>
    <row r="159" spans="1:11" ht="28.5" customHeight="1">
      <c r="A159" s="18">
        <v>152</v>
      </c>
      <c r="B159" s="35" t="s">
        <v>579</v>
      </c>
      <c r="C159" s="36" t="s">
        <v>580</v>
      </c>
      <c r="D159" s="18">
        <v>30780</v>
      </c>
      <c r="E159" s="36">
        <v>30780</v>
      </c>
      <c r="F159" s="38" t="s">
        <v>581</v>
      </c>
      <c r="G159" s="1">
        <f t="shared" si="2"/>
        <v>15390</v>
      </c>
      <c r="H159" s="1"/>
      <c r="I159" s="1"/>
      <c r="J159" s="1"/>
      <c r="K159" s="1"/>
    </row>
    <row r="160" spans="1:11" ht="28.5" customHeight="1">
      <c r="A160" s="15"/>
      <c r="B160" s="16" t="s">
        <v>9</v>
      </c>
      <c r="C160" s="17"/>
      <c r="D160" s="17">
        <f t="shared" ref="D160:E160" si="3">SUM(D5:D159)</f>
        <v>6258282</v>
      </c>
      <c r="E160" s="17">
        <f t="shared" si="3"/>
        <v>6013959</v>
      </c>
      <c r="F160" s="17"/>
      <c r="G160" s="5">
        <f>SUM(G6:G159)</f>
        <v>3007041</v>
      </c>
      <c r="H160" s="5"/>
      <c r="I160" s="5"/>
      <c r="J160" s="5"/>
      <c r="K160" s="5"/>
    </row>
    <row r="161" spans="1:11" ht="28.5" customHeight="1">
      <c r="A161" s="18"/>
      <c r="B161" s="19"/>
      <c r="C161" s="19"/>
      <c r="D161" s="20"/>
      <c r="E161" s="18"/>
      <c r="F161" s="21"/>
      <c r="G161" s="1"/>
      <c r="H161" s="1"/>
      <c r="I161" s="1"/>
      <c r="J161" s="1"/>
      <c r="K161" s="1"/>
    </row>
    <row r="162" spans="1:11" ht="28.5" customHeight="1">
      <c r="A162" s="18"/>
      <c r="B162" s="34"/>
      <c r="C162" s="34"/>
      <c r="D162" s="15"/>
      <c r="E162" s="34"/>
      <c r="F162" s="34"/>
      <c r="G162" s="1"/>
      <c r="H162" s="1"/>
      <c r="I162" s="1"/>
      <c r="J162" s="1"/>
      <c r="K162" s="1"/>
    </row>
    <row r="163" spans="1:11" ht="28.5" customHeight="1">
      <c r="A163" s="18"/>
      <c r="B163" s="16"/>
      <c r="C163" s="17"/>
      <c r="D163" s="15"/>
      <c r="E163" s="18"/>
      <c r="F163" s="21"/>
      <c r="G163" s="1"/>
      <c r="H163" s="1"/>
      <c r="I163" s="1"/>
      <c r="J163" s="1"/>
      <c r="K163" s="1"/>
    </row>
    <row r="164" spans="1:11" ht="28.5" customHeight="1">
      <c r="A164" s="18"/>
      <c r="B164" s="16"/>
      <c r="C164" s="17"/>
      <c r="D164" s="15"/>
      <c r="E164" s="18"/>
      <c r="F164" s="21"/>
      <c r="G164" s="1"/>
      <c r="H164" s="1"/>
      <c r="I164" s="1"/>
      <c r="J164" s="1"/>
      <c r="K164" s="1"/>
    </row>
    <row r="165" spans="1:11" ht="28.5" hidden="1" customHeight="1">
      <c r="A165" s="189" t="s">
        <v>0</v>
      </c>
      <c r="B165" s="188"/>
      <c r="C165" s="188"/>
      <c r="D165" s="188"/>
      <c r="E165" s="188"/>
      <c r="F165" s="188"/>
      <c r="G165" s="1"/>
      <c r="H165" s="1"/>
      <c r="I165" s="1"/>
      <c r="J165" s="1"/>
      <c r="K165" s="1"/>
    </row>
    <row r="166" spans="1:11" ht="28.5" hidden="1" customHeight="1">
      <c r="A166" s="189" t="s">
        <v>582</v>
      </c>
      <c r="B166" s="188"/>
      <c r="C166" s="188"/>
      <c r="D166" s="188"/>
      <c r="E166" s="188"/>
      <c r="F166" s="188"/>
      <c r="G166" s="1"/>
      <c r="H166" s="1"/>
      <c r="I166" s="1"/>
      <c r="J166" s="1"/>
      <c r="K166" s="1"/>
    </row>
    <row r="167" spans="1:11" ht="41.25" hidden="1" customHeight="1">
      <c r="A167" s="17" t="s">
        <v>261</v>
      </c>
      <c r="B167" s="16" t="s">
        <v>3</v>
      </c>
      <c r="C167" s="17" t="s">
        <v>4</v>
      </c>
      <c r="D167" s="17" t="s">
        <v>5</v>
      </c>
      <c r="E167" s="17" t="s">
        <v>27</v>
      </c>
      <c r="F167" s="4" t="s">
        <v>28</v>
      </c>
      <c r="G167" s="1"/>
      <c r="H167" s="1"/>
      <c r="I167" s="1"/>
      <c r="J167" s="1"/>
      <c r="K167" s="1"/>
    </row>
    <row r="168" spans="1:11" ht="28.5" customHeight="1">
      <c r="A168" s="26"/>
      <c r="B168" s="27"/>
      <c r="C168" s="28"/>
      <c r="D168" s="26"/>
      <c r="E168" s="26"/>
      <c r="F168" s="29"/>
      <c r="G168" s="1"/>
      <c r="H168" s="1"/>
      <c r="I168" s="1"/>
      <c r="J168" s="1"/>
      <c r="K168" s="1"/>
    </row>
  </sheetData>
  <autoFilter ref="A1:F160" xr:uid="{00000000-0009-0000-0000-000001000000}"/>
  <mergeCells count="4">
    <mergeCell ref="A1:F1"/>
    <mergeCell ref="A2:F2"/>
    <mergeCell ref="A165:F165"/>
    <mergeCell ref="A166:F166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44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87" t="s">
        <v>0</v>
      </c>
      <c r="B1" s="188"/>
      <c r="C1" s="188"/>
      <c r="D1" s="188"/>
      <c r="E1" s="188"/>
      <c r="F1" s="188"/>
      <c r="G1" s="1"/>
      <c r="H1" s="1"/>
      <c r="I1" s="1"/>
      <c r="J1" s="1"/>
      <c r="K1" s="1"/>
    </row>
    <row r="2" spans="1:11" ht="22.5" customHeight="1">
      <c r="A2" s="187" t="s">
        <v>260</v>
      </c>
      <c r="B2" s="188"/>
      <c r="C2" s="188"/>
      <c r="D2" s="188"/>
      <c r="E2" s="188"/>
      <c r="F2" s="188"/>
      <c r="G2" s="1"/>
      <c r="H2" s="1"/>
      <c r="I2" s="1"/>
      <c r="J2" s="1"/>
      <c r="K2" s="1"/>
    </row>
    <row r="3" spans="1:11" ht="28.5" customHeight="1">
      <c r="A3" s="2" t="s">
        <v>261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262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263</v>
      </c>
      <c r="C5" s="36" t="s">
        <v>258</v>
      </c>
      <c r="D5" s="18">
        <v>160000</v>
      </c>
      <c r="E5" s="36"/>
      <c r="F5" s="38" t="s">
        <v>264</v>
      </c>
      <c r="G5" s="1">
        <f t="shared" ref="G5:G135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265</v>
      </c>
      <c r="C6" s="36" t="s">
        <v>266</v>
      </c>
      <c r="D6" s="18">
        <v>100106</v>
      </c>
      <c r="E6" s="36">
        <v>99831</v>
      </c>
      <c r="F6" s="38" t="s">
        <v>267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268</v>
      </c>
      <c r="C7" s="36" t="s">
        <v>266</v>
      </c>
      <c r="D7" s="18">
        <v>45000</v>
      </c>
      <c r="E7" s="36">
        <v>44725</v>
      </c>
      <c r="F7" s="38" t="s">
        <v>269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270</v>
      </c>
      <c r="C8" s="36" t="s">
        <v>271</v>
      </c>
      <c r="D8" s="18">
        <v>47667</v>
      </c>
      <c r="E8" s="36">
        <v>47392</v>
      </c>
      <c r="F8" s="38" t="s">
        <v>272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273</v>
      </c>
      <c r="C9" s="36" t="s">
        <v>271</v>
      </c>
      <c r="D9" s="18">
        <v>43206</v>
      </c>
      <c r="E9" s="36">
        <v>42931</v>
      </c>
      <c r="F9" s="38" t="s">
        <v>274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275</v>
      </c>
      <c r="C10" s="36" t="s">
        <v>271</v>
      </c>
      <c r="D10" s="18">
        <v>32460</v>
      </c>
      <c r="E10" s="36">
        <v>32185</v>
      </c>
      <c r="F10" s="38" t="s">
        <v>276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277</v>
      </c>
      <c r="C11" s="36" t="s">
        <v>271</v>
      </c>
      <c r="D11" s="36">
        <v>18000</v>
      </c>
      <c r="E11" s="36">
        <v>17775</v>
      </c>
      <c r="F11" s="38" t="s">
        <v>278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279</v>
      </c>
      <c r="C12" s="36" t="s">
        <v>271</v>
      </c>
      <c r="D12" s="36">
        <v>18000</v>
      </c>
      <c r="E12" s="36">
        <v>17775</v>
      </c>
      <c r="F12" s="38" t="s">
        <v>280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18">
        <v>11</v>
      </c>
      <c r="B13" s="30" t="s">
        <v>285</v>
      </c>
      <c r="C13" s="36" t="s">
        <v>271</v>
      </c>
      <c r="D13" s="36">
        <v>22000</v>
      </c>
      <c r="E13" s="36">
        <v>21725</v>
      </c>
      <c r="F13" s="38" t="s">
        <v>286</v>
      </c>
      <c r="G13" s="1">
        <f t="shared" si="0"/>
        <v>10863</v>
      </c>
      <c r="H13" s="1"/>
      <c r="I13" s="1"/>
      <c r="J13" s="1"/>
      <c r="K13" s="1"/>
    </row>
    <row r="14" spans="1:11" ht="28.5" customHeight="1">
      <c r="A14" s="18">
        <v>12</v>
      </c>
      <c r="B14" s="30" t="s">
        <v>287</v>
      </c>
      <c r="C14" s="36" t="s">
        <v>266</v>
      </c>
      <c r="D14" s="36">
        <v>65000</v>
      </c>
      <c r="E14" s="36">
        <v>61725</v>
      </c>
      <c r="F14" s="40" t="s">
        <v>288</v>
      </c>
      <c r="G14" s="1">
        <f t="shared" si="0"/>
        <v>30863</v>
      </c>
      <c r="H14" s="1"/>
      <c r="I14" s="1"/>
      <c r="J14" s="1"/>
      <c r="K14" s="1"/>
    </row>
    <row r="15" spans="1:11" ht="28.5" customHeight="1">
      <c r="A15" s="18">
        <v>13</v>
      </c>
      <c r="B15" s="35" t="s">
        <v>289</v>
      </c>
      <c r="C15" s="36" t="s">
        <v>290</v>
      </c>
      <c r="D15" s="18">
        <v>89961</v>
      </c>
      <c r="E15" s="36">
        <v>86086</v>
      </c>
      <c r="F15" s="41" t="s">
        <v>291</v>
      </c>
      <c r="G15" s="1">
        <f t="shared" si="0"/>
        <v>43043</v>
      </c>
      <c r="H15" s="1"/>
      <c r="I15" s="1"/>
      <c r="J15" s="1"/>
      <c r="K15" s="1"/>
    </row>
    <row r="16" spans="1:11" ht="28.5" customHeight="1">
      <c r="A16" s="18">
        <v>14</v>
      </c>
      <c r="B16" s="35" t="s">
        <v>292</v>
      </c>
      <c r="C16" s="36" t="s">
        <v>266</v>
      </c>
      <c r="D16" s="18">
        <v>51841</v>
      </c>
      <c r="E16" s="36">
        <v>47966</v>
      </c>
      <c r="F16" s="41" t="s">
        <v>293</v>
      </c>
      <c r="G16" s="1">
        <f t="shared" si="0"/>
        <v>23983</v>
      </c>
      <c r="H16" s="1"/>
      <c r="I16" s="1"/>
      <c r="J16" s="1"/>
      <c r="K16" s="1"/>
    </row>
    <row r="17" spans="1:11" ht="28.5" customHeight="1">
      <c r="A17" s="18">
        <v>15</v>
      </c>
      <c r="B17" s="35" t="s">
        <v>294</v>
      </c>
      <c r="C17" s="36" t="s">
        <v>266</v>
      </c>
      <c r="D17" s="18">
        <v>55000</v>
      </c>
      <c r="E17" s="36">
        <v>54725</v>
      </c>
      <c r="F17" s="41" t="s">
        <v>295</v>
      </c>
      <c r="G17" s="1">
        <f t="shared" si="0"/>
        <v>27363</v>
      </c>
      <c r="H17" s="1"/>
      <c r="I17" s="1"/>
      <c r="J17" s="1"/>
      <c r="K17" s="1"/>
    </row>
    <row r="18" spans="1:11" ht="28.5" customHeight="1">
      <c r="A18" s="18">
        <v>16</v>
      </c>
      <c r="B18" s="35" t="s">
        <v>296</v>
      </c>
      <c r="C18" s="36" t="s">
        <v>266</v>
      </c>
      <c r="D18" s="18">
        <v>52000</v>
      </c>
      <c r="E18" s="36">
        <v>51725</v>
      </c>
      <c r="F18" s="18"/>
      <c r="G18" s="1">
        <f t="shared" si="0"/>
        <v>25863</v>
      </c>
      <c r="H18" s="1"/>
      <c r="I18" s="1"/>
      <c r="J18" s="1"/>
      <c r="K18" s="1"/>
    </row>
    <row r="19" spans="1:11" ht="28.5" customHeight="1">
      <c r="A19" s="18">
        <v>18</v>
      </c>
      <c r="B19" s="35" t="s">
        <v>299</v>
      </c>
      <c r="C19" s="36" t="s">
        <v>266</v>
      </c>
      <c r="D19" s="18">
        <v>60000</v>
      </c>
      <c r="E19" s="36">
        <v>59725</v>
      </c>
      <c r="F19" s="41" t="s">
        <v>300</v>
      </c>
      <c r="G19" s="1">
        <f t="shared" si="0"/>
        <v>29863</v>
      </c>
      <c r="H19" s="1"/>
      <c r="I19" s="1"/>
      <c r="J19" s="1"/>
      <c r="K19" s="1"/>
    </row>
    <row r="20" spans="1:11" ht="28.5" customHeight="1">
      <c r="A20" s="18">
        <v>19</v>
      </c>
      <c r="B20" s="35" t="s">
        <v>301</v>
      </c>
      <c r="C20" s="36" t="s">
        <v>266</v>
      </c>
      <c r="D20" s="18">
        <v>62000</v>
      </c>
      <c r="E20" s="36">
        <v>61725</v>
      </c>
      <c r="F20" s="41" t="s">
        <v>302</v>
      </c>
      <c r="G20" s="1">
        <f t="shared" si="0"/>
        <v>30863</v>
      </c>
      <c r="H20" s="1"/>
      <c r="I20" s="1"/>
      <c r="J20" s="1"/>
      <c r="K20" s="1"/>
    </row>
    <row r="21" spans="1:11" ht="28.5" customHeight="1">
      <c r="A21" s="18">
        <v>20</v>
      </c>
      <c r="B21" s="35" t="s">
        <v>303</v>
      </c>
      <c r="C21" s="36" t="s">
        <v>271</v>
      </c>
      <c r="D21" s="18">
        <v>34510</v>
      </c>
      <c r="E21" s="36">
        <v>34235</v>
      </c>
      <c r="F21" s="41" t="s">
        <v>304</v>
      </c>
      <c r="G21" s="1">
        <f t="shared" si="0"/>
        <v>17118</v>
      </c>
      <c r="H21" s="1"/>
      <c r="I21" s="1"/>
      <c r="J21" s="1"/>
      <c r="K21" s="1"/>
    </row>
    <row r="22" spans="1:11" ht="28.5" customHeight="1">
      <c r="A22" s="18">
        <v>21</v>
      </c>
      <c r="B22" s="35" t="s">
        <v>305</v>
      </c>
      <c r="C22" s="36" t="s">
        <v>271</v>
      </c>
      <c r="D22" s="18">
        <v>20000</v>
      </c>
      <c r="E22" s="36">
        <v>19775</v>
      </c>
      <c r="F22" s="41" t="s">
        <v>306</v>
      </c>
      <c r="G22" s="1">
        <f t="shared" si="0"/>
        <v>9888</v>
      </c>
      <c r="H22" s="1"/>
      <c r="I22" s="1"/>
      <c r="J22" s="1"/>
      <c r="K22" s="1"/>
    </row>
    <row r="23" spans="1:11" ht="28.5" customHeight="1">
      <c r="A23" s="18">
        <v>22</v>
      </c>
      <c r="B23" s="35" t="s">
        <v>307</v>
      </c>
      <c r="C23" s="36" t="s">
        <v>271</v>
      </c>
      <c r="D23" s="18">
        <v>35000</v>
      </c>
      <c r="E23" s="36">
        <v>34725</v>
      </c>
      <c r="F23" s="41" t="s">
        <v>308</v>
      </c>
      <c r="G23" s="1">
        <f t="shared" si="0"/>
        <v>17363</v>
      </c>
      <c r="H23" s="1"/>
      <c r="I23" s="1"/>
      <c r="J23" s="1"/>
      <c r="K23" s="1"/>
    </row>
    <row r="24" spans="1:11" ht="28.5" customHeight="1">
      <c r="A24" s="18">
        <v>24</v>
      </c>
      <c r="B24" s="35" t="s">
        <v>311</v>
      </c>
      <c r="C24" s="36" t="s">
        <v>271</v>
      </c>
      <c r="D24" s="18">
        <v>25000</v>
      </c>
      <c r="E24" s="36">
        <v>24725</v>
      </c>
      <c r="F24" s="41" t="s">
        <v>312</v>
      </c>
      <c r="G24" s="1">
        <f t="shared" si="0"/>
        <v>12363</v>
      </c>
      <c r="H24" s="1"/>
      <c r="I24" s="1"/>
      <c r="J24" s="1"/>
      <c r="K24" s="1"/>
    </row>
    <row r="25" spans="1:11" ht="28.5" customHeight="1">
      <c r="A25" s="18">
        <v>25</v>
      </c>
      <c r="B25" s="35" t="s">
        <v>313</v>
      </c>
      <c r="C25" s="36" t="s">
        <v>271</v>
      </c>
      <c r="D25" s="18">
        <v>26460</v>
      </c>
      <c r="E25" s="36">
        <v>26185</v>
      </c>
      <c r="F25" s="41" t="s">
        <v>314</v>
      </c>
      <c r="G25" s="1">
        <f t="shared" si="0"/>
        <v>13093</v>
      </c>
      <c r="H25" s="1"/>
      <c r="I25" s="1"/>
      <c r="J25" s="1"/>
      <c r="K25" s="1"/>
    </row>
    <row r="26" spans="1:11" ht="43.5" customHeight="1">
      <c r="A26" s="18">
        <v>26</v>
      </c>
      <c r="B26" s="35" t="s">
        <v>315</v>
      </c>
      <c r="C26" s="36" t="s">
        <v>316</v>
      </c>
      <c r="D26" s="18">
        <v>100000</v>
      </c>
      <c r="E26" s="36">
        <v>96125</v>
      </c>
      <c r="F26" s="38" t="s">
        <v>317</v>
      </c>
      <c r="G26" s="1">
        <f t="shared" si="0"/>
        <v>48063</v>
      </c>
      <c r="H26" s="1"/>
      <c r="I26" s="1"/>
      <c r="J26" s="1"/>
      <c r="K26" s="1"/>
    </row>
    <row r="27" spans="1:11" ht="28.5" customHeight="1">
      <c r="A27" s="18">
        <v>27</v>
      </c>
      <c r="B27" s="35" t="s">
        <v>318</v>
      </c>
      <c r="C27" s="36" t="s">
        <v>319</v>
      </c>
      <c r="D27" s="18">
        <v>65000</v>
      </c>
      <c r="E27" s="36">
        <v>64725</v>
      </c>
      <c r="F27" s="38" t="s">
        <v>320</v>
      </c>
      <c r="G27" s="1">
        <f t="shared" si="0"/>
        <v>32363</v>
      </c>
      <c r="H27" s="1"/>
      <c r="I27" s="1"/>
      <c r="J27" s="1"/>
      <c r="K27" s="1"/>
    </row>
    <row r="28" spans="1:11" ht="28.5" customHeight="1">
      <c r="A28" s="18">
        <v>28</v>
      </c>
      <c r="B28" s="35" t="s">
        <v>321</v>
      </c>
      <c r="C28" s="36" t="s">
        <v>322</v>
      </c>
      <c r="D28" s="18">
        <v>89961</v>
      </c>
      <c r="E28" s="36">
        <v>86086</v>
      </c>
      <c r="F28" s="38" t="s">
        <v>323</v>
      </c>
      <c r="G28" s="1">
        <f t="shared" si="0"/>
        <v>43043</v>
      </c>
      <c r="H28" s="1"/>
      <c r="I28" s="1"/>
      <c r="J28" s="1"/>
      <c r="K28" s="1"/>
    </row>
    <row r="29" spans="1:11" ht="28.5" customHeight="1">
      <c r="A29" s="18">
        <v>29</v>
      </c>
      <c r="B29" s="35" t="s">
        <v>324</v>
      </c>
      <c r="C29" s="36" t="s">
        <v>322</v>
      </c>
      <c r="D29" s="18">
        <v>75000</v>
      </c>
      <c r="E29" s="36">
        <v>74725</v>
      </c>
      <c r="F29" s="38" t="s">
        <v>325</v>
      </c>
      <c r="G29" s="1">
        <f t="shared" si="0"/>
        <v>37363</v>
      </c>
      <c r="H29" s="1"/>
      <c r="I29" s="1"/>
      <c r="J29" s="1"/>
      <c r="K29" s="1"/>
    </row>
    <row r="30" spans="1:11" ht="28.5" customHeight="1">
      <c r="A30" s="18">
        <v>30</v>
      </c>
      <c r="B30" s="35" t="s">
        <v>326</v>
      </c>
      <c r="C30" s="36" t="s">
        <v>327</v>
      </c>
      <c r="D30" s="18">
        <v>45000</v>
      </c>
      <c r="E30" s="36">
        <v>44725</v>
      </c>
      <c r="F30" s="38" t="s">
        <v>328</v>
      </c>
      <c r="G30" s="1">
        <f t="shared" si="0"/>
        <v>22363</v>
      </c>
      <c r="H30" s="1"/>
      <c r="I30" s="1"/>
      <c r="J30" s="1"/>
      <c r="K30" s="1"/>
    </row>
    <row r="31" spans="1:11" ht="28.5" customHeight="1">
      <c r="A31" s="18">
        <v>31</v>
      </c>
      <c r="B31" s="35" t="s">
        <v>329</v>
      </c>
      <c r="C31" s="36" t="s">
        <v>327</v>
      </c>
      <c r="D31" s="18">
        <v>55000</v>
      </c>
      <c r="E31" s="36">
        <v>54725</v>
      </c>
      <c r="F31" s="38" t="s">
        <v>330</v>
      </c>
      <c r="G31" s="1">
        <f t="shared" si="0"/>
        <v>27363</v>
      </c>
      <c r="H31" s="1"/>
      <c r="I31" s="1"/>
      <c r="J31" s="1"/>
      <c r="K31" s="1"/>
    </row>
    <row r="32" spans="1:11" ht="28.5" customHeight="1">
      <c r="A32" s="18">
        <v>32</v>
      </c>
      <c r="B32" s="35" t="s">
        <v>331</v>
      </c>
      <c r="C32" s="36" t="s">
        <v>271</v>
      </c>
      <c r="D32" s="18">
        <v>65000</v>
      </c>
      <c r="E32" s="36">
        <v>68725</v>
      </c>
      <c r="F32" s="38" t="s">
        <v>332</v>
      </c>
      <c r="G32" s="1">
        <f t="shared" si="0"/>
        <v>34363</v>
      </c>
      <c r="H32" s="1"/>
      <c r="I32" s="1"/>
      <c r="J32" s="1"/>
      <c r="K32" s="1"/>
    </row>
    <row r="33" spans="1:11" ht="28.5" customHeight="1">
      <c r="A33" s="18">
        <v>33</v>
      </c>
      <c r="B33" s="35" t="s">
        <v>333</v>
      </c>
      <c r="C33" s="36" t="s">
        <v>271</v>
      </c>
      <c r="D33" s="18">
        <v>31949</v>
      </c>
      <c r="E33" s="36">
        <v>31674</v>
      </c>
      <c r="F33" s="38" t="s">
        <v>334</v>
      </c>
      <c r="G33" s="1">
        <f t="shared" si="0"/>
        <v>15837</v>
      </c>
      <c r="H33" s="1"/>
      <c r="I33" s="1"/>
      <c r="J33" s="1"/>
      <c r="K33" s="1"/>
    </row>
    <row r="34" spans="1:11" ht="28.5" customHeight="1">
      <c r="A34" s="18">
        <v>34</v>
      </c>
      <c r="B34" s="35" t="s">
        <v>335</v>
      </c>
      <c r="C34" s="36" t="s">
        <v>271</v>
      </c>
      <c r="D34" s="18">
        <v>20000</v>
      </c>
      <c r="E34" s="36">
        <v>19775</v>
      </c>
      <c r="F34" s="38" t="s">
        <v>336</v>
      </c>
      <c r="G34" s="1">
        <f t="shared" si="0"/>
        <v>9888</v>
      </c>
      <c r="H34" s="1"/>
      <c r="I34" s="1"/>
      <c r="J34" s="1"/>
      <c r="K34" s="1"/>
    </row>
    <row r="35" spans="1:11" ht="28.5" customHeight="1">
      <c r="A35" s="18">
        <v>35</v>
      </c>
      <c r="B35" s="35" t="s">
        <v>337</v>
      </c>
      <c r="C35" s="36" t="s">
        <v>271</v>
      </c>
      <c r="D35" s="18">
        <v>25000</v>
      </c>
      <c r="E35" s="36">
        <v>24725</v>
      </c>
      <c r="F35" s="38" t="s">
        <v>338</v>
      </c>
      <c r="G35" s="1">
        <f t="shared" si="0"/>
        <v>12363</v>
      </c>
      <c r="H35" s="1"/>
      <c r="I35" s="1"/>
      <c r="J35" s="1"/>
      <c r="K35" s="1"/>
    </row>
    <row r="36" spans="1:11" ht="28.5" customHeight="1">
      <c r="A36" s="18">
        <v>36</v>
      </c>
      <c r="B36" s="35" t="s">
        <v>339</v>
      </c>
      <c r="C36" s="36" t="s">
        <v>271</v>
      </c>
      <c r="D36" s="18">
        <v>45000</v>
      </c>
      <c r="E36" s="36">
        <v>44725</v>
      </c>
      <c r="F36" s="38" t="s">
        <v>340</v>
      </c>
      <c r="G36" s="1">
        <f t="shared" si="0"/>
        <v>22363</v>
      </c>
      <c r="H36" s="1"/>
      <c r="I36" s="1"/>
      <c r="J36" s="1"/>
      <c r="K36" s="1"/>
    </row>
    <row r="37" spans="1:11" ht="28.5" customHeight="1">
      <c r="A37" s="18">
        <v>37</v>
      </c>
      <c r="B37" s="35" t="s">
        <v>341</v>
      </c>
      <c r="C37" s="36" t="s">
        <v>271</v>
      </c>
      <c r="D37" s="18">
        <v>15000</v>
      </c>
      <c r="E37" s="36">
        <v>14925</v>
      </c>
      <c r="F37" s="38" t="s">
        <v>342</v>
      </c>
      <c r="G37" s="1">
        <f t="shared" si="0"/>
        <v>7463</v>
      </c>
      <c r="H37" s="1"/>
      <c r="I37" s="1"/>
      <c r="J37" s="1"/>
      <c r="K37" s="1"/>
    </row>
    <row r="38" spans="1:11" ht="29.25" customHeight="1">
      <c r="A38" s="18">
        <v>38</v>
      </c>
      <c r="B38" s="35" t="s">
        <v>343</v>
      </c>
      <c r="C38" s="36" t="s">
        <v>271</v>
      </c>
      <c r="D38" s="18">
        <v>15000</v>
      </c>
      <c r="E38" s="36">
        <v>14925</v>
      </c>
      <c r="F38" s="38" t="s">
        <v>344</v>
      </c>
      <c r="G38" s="1">
        <f t="shared" si="0"/>
        <v>7463</v>
      </c>
      <c r="H38" s="1"/>
      <c r="I38" s="1"/>
      <c r="J38" s="1"/>
      <c r="K38" s="1"/>
    </row>
    <row r="39" spans="1:11" ht="28.5" customHeight="1">
      <c r="A39" s="18">
        <v>39</v>
      </c>
      <c r="B39" s="35" t="s">
        <v>345</v>
      </c>
      <c r="C39" s="36" t="s">
        <v>271</v>
      </c>
      <c r="D39" s="18">
        <v>60000</v>
      </c>
      <c r="E39" s="36">
        <v>59725</v>
      </c>
      <c r="F39" s="38" t="s">
        <v>346</v>
      </c>
      <c r="G39" s="1">
        <f t="shared" si="0"/>
        <v>29863</v>
      </c>
      <c r="H39" s="1"/>
      <c r="I39" s="1"/>
      <c r="J39" s="1"/>
      <c r="K39" s="1"/>
    </row>
    <row r="40" spans="1:11" ht="28.5" customHeight="1">
      <c r="A40" s="18">
        <v>40</v>
      </c>
      <c r="B40" s="35" t="s">
        <v>347</v>
      </c>
      <c r="C40" s="36" t="s">
        <v>271</v>
      </c>
      <c r="D40" s="18">
        <v>25000</v>
      </c>
      <c r="E40" s="36">
        <v>24725</v>
      </c>
      <c r="F40" s="38" t="s">
        <v>348</v>
      </c>
      <c r="G40" s="1">
        <f t="shared" si="0"/>
        <v>12363</v>
      </c>
      <c r="H40" s="1"/>
      <c r="I40" s="1"/>
      <c r="J40" s="1"/>
      <c r="K40" s="1"/>
    </row>
    <row r="41" spans="1:11" ht="28.5" customHeight="1">
      <c r="A41" s="18">
        <v>41</v>
      </c>
      <c r="B41" s="35" t="s">
        <v>349</v>
      </c>
      <c r="C41" s="36" t="s">
        <v>271</v>
      </c>
      <c r="D41" s="18">
        <v>25000</v>
      </c>
      <c r="E41" s="36">
        <v>24725</v>
      </c>
      <c r="F41" s="38" t="s">
        <v>350</v>
      </c>
      <c r="G41" s="1">
        <f t="shared" si="0"/>
        <v>12363</v>
      </c>
      <c r="H41" s="1"/>
      <c r="I41" s="1"/>
      <c r="J41" s="1"/>
      <c r="K41" s="1"/>
    </row>
    <row r="42" spans="1:11" ht="28.5" customHeight="1">
      <c r="A42" s="18">
        <v>42</v>
      </c>
      <c r="B42" s="35" t="s">
        <v>351</v>
      </c>
      <c r="C42" s="36" t="s">
        <v>271</v>
      </c>
      <c r="D42" s="18">
        <v>25000</v>
      </c>
      <c r="E42" s="36">
        <v>24725</v>
      </c>
      <c r="F42" s="38" t="s">
        <v>352</v>
      </c>
      <c r="G42" s="1">
        <f t="shared" si="0"/>
        <v>12363</v>
      </c>
      <c r="H42" s="1"/>
      <c r="I42" s="1"/>
      <c r="J42" s="1"/>
      <c r="K42" s="1"/>
    </row>
    <row r="43" spans="1:11" ht="28.5" customHeight="1">
      <c r="A43" s="18">
        <v>43</v>
      </c>
      <c r="B43" s="35" t="s">
        <v>353</v>
      </c>
      <c r="C43" s="36" t="s">
        <v>354</v>
      </c>
      <c r="D43" s="18">
        <v>80000</v>
      </c>
      <c r="E43" s="36">
        <v>79725</v>
      </c>
      <c r="F43" s="41" t="s">
        <v>355</v>
      </c>
      <c r="G43" s="1">
        <f t="shared" si="0"/>
        <v>39863</v>
      </c>
      <c r="H43" s="1"/>
      <c r="I43" s="1"/>
      <c r="J43" s="1"/>
      <c r="K43" s="1"/>
    </row>
    <row r="44" spans="1:11" ht="28.5" customHeight="1">
      <c r="A44" s="18">
        <v>45</v>
      </c>
      <c r="B44" s="37" t="s">
        <v>358</v>
      </c>
      <c r="C44" s="36" t="s">
        <v>266</v>
      </c>
      <c r="D44" s="18">
        <v>50000</v>
      </c>
      <c r="E44" s="36">
        <v>49725</v>
      </c>
      <c r="F44" s="41" t="s">
        <v>359</v>
      </c>
      <c r="G44" s="1">
        <f t="shared" si="0"/>
        <v>24863</v>
      </c>
      <c r="H44" s="1"/>
      <c r="I44" s="1"/>
      <c r="J44" s="1"/>
      <c r="K44" s="1"/>
    </row>
    <row r="45" spans="1:11" ht="28.5" customHeight="1">
      <c r="A45" s="18">
        <v>46</v>
      </c>
      <c r="B45" s="37" t="s">
        <v>360</v>
      </c>
      <c r="C45" s="36" t="s">
        <v>266</v>
      </c>
      <c r="D45" s="18">
        <v>50000</v>
      </c>
      <c r="E45" s="36">
        <v>49725</v>
      </c>
      <c r="F45" s="41" t="s">
        <v>361</v>
      </c>
      <c r="G45" s="1">
        <f t="shared" si="0"/>
        <v>24863</v>
      </c>
      <c r="H45" s="1"/>
      <c r="I45" s="1"/>
      <c r="J45" s="1"/>
      <c r="K45" s="1"/>
    </row>
    <row r="46" spans="1:11" ht="28.5" customHeight="1">
      <c r="A46" s="18">
        <v>48</v>
      </c>
      <c r="B46" s="35" t="s">
        <v>363</v>
      </c>
      <c r="C46" s="36" t="s">
        <v>266</v>
      </c>
      <c r="D46" s="18">
        <v>46559</v>
      </c>
      <c r="E46" s="36">
        <v>42684</v>
      </c>
      <c r="F46" s="41" t="s">
        <v>364</v>
      </c>
      <c r="G46" s="1">
        <f t="shared" si="0"/>
        <v>21342</v>
      </c>
      <c r="H46" s="1"/>
      <c r="I46" s="1"/>
      <c r="J46" s="1"/>
      <c r="K46" s="1"/>
    </row>
    <row r="47" spans="1:11" ht="28.5" customHeight="1">
      <c r="A47" s="18">
        <v>49</v>
      </c>
      <c r="B47" s="35" t="s">
        <v>365</v>
      </c>
      <c r="C47" s="36" t="s">
        <v>266</v>
      </c>
      <c r="D47" s="18">
        <v>40548</v>
      </c>
      <c r="E47" s="36">
        <v>36673</v>
      </c>
      <c r="F47" s="41" t="s">
        <v>366</v>
      </c>
      <c r="G47" s="1">
        <f t="shared" si="0"/>
        <v>18337</v>
      </c>
      <c r="H47" s="1"/>
      <c r="I47" s="1"/>
      <c r="J47" s="1"/>
      <c r="K47" s="1"/>
    </row>
    <row r="48" spans="1:11" ht="28.5" customHeight="1">
      <c r="A48" s="18">
        <v>50</v>
      </c>
      <c r="B48" s="35" t="s">
        <v>367</v>
      </c>
      <c r="C48" s="36" t="s">
        <v>266</v>
      </c>
      <c r="D48" s="18">
        <v>36045</v>
      </c>
      <c r="E48" s="36">
        <v>36170</v>
      </c>
      <c r="F48" s="41" t="s">
        <v>368</v>
      </c>
      <c r="G48" s="1">
        <f t="shared" si="0"/>
        <v>18085</v>
      </c>
      <c r="H48" s="1"/>
      <c r="I48" s="1"/>
      <c r="J48" s="1"/>
      <c r="K48" s="1"/>
    </row>
    <row r="49" spans="1:11" ht="28.5" customHeight="1">
      <c r="A49" s="18">
        <v>52</v>
      </c>
      <c r="B49" s="35" t="s">
        <v>371</v>
      </c>
      <c r="C49" s="36" t="s">
        <v>266</v>
      </c>
      <c r="D49" s="18">
        <v>45000</v>
      </c>
      <c r="E49" s="36">
        <v>44725</v>
      </c>
      <c r="F49" s="41" t="s">
        <v>372</v>
      </c>
      <c r="G49" s="1">
        <f t="shared" si="0"/>
        <v>22363</v>
      </c>
      <c r="H49" s="1"/>
      <c r="I49" s="1"/>
      <c r="J49" s="1"/>
      <c r="K49" s="1"/>
    </row>
    <row r="50" spans="1:11" ht="28.5" customHeight="1">
      <c r="A50" s="18">
        <v>53</v>
      </c>
      <c r="B50" s="35" t="s">
        <v>373</v>
      </c>
      <c r="C50" s="36" t="s">
        <v>374</v>
      </c>
      <c r="D50" s="18">
        <v>20000</v>
      </c>
      <c r="E50" s="36">
        <v>19775</v>
      </c>
      <c r="F50" s="41" t="s">
        <v>375</v>
      </c>
      <c r="G50" s="1">
        <f t="shared" si="0"/>
        <v>9888</v>
      </c>
      <c r="H50" s="1"/>
      <c r="I50" s="1"/>
      <c r="J50" s="1"/>
      <c r="K50" s="1"/>
    </row>
    <row r="51" spans="1:11" ht="28.5" customHeight="1">
      <c r="A51" s="18">
        <v>54</v>
      </c>
      <c r="B51" s="35" t="s">
        <v>376</v>
      </c>
      <c r="C51" s="36" t="s">
        <v>271</v>
      </c>
      <c r="D51" s="18">
        <v>34510</v>
      </c>
      <c r="E51" s="36">
        <v>34235</v>
      </c>
      <c r="F51" s="41" t="s">
        <v>377</v>
      </c>
      <c r="G51" s="1">
        <f t="shared" si="0"/>
        <v>17118</v>
      </c>
      <c r="H51" s="1"/>
      <c r="I51" s="1"/>
      <c r="J51" s="1"/>
      <c r="K51" s="1"/>
    </row>
    <row r="52" spans="1:11" ht="28.5" customHeight="1">
      <c r="A52" s="18">
        <v>55</v>
      </c>
      <c r="B52" s="35" t="s">
        <v>378</v>
      </c>
      <c r="C52" s="36" t="s">
        <v>271</v>
      </c>
      <c r="D52" s="18">
        <v>65000</v>
      </c>
      <c r="E52" s="36">
        <v>64725</v>
      </c>
      <c r="F52" s="41" t="s">
        <v>379</v>
      </c>
      <c r="G52" s="1">
        <f t="shared" si="0"/>
        <v>32363</v>
      </c>
      <c r="H52" s="1"/>
      <c r="I52" s="1"/>
      <c r="J52" s="1"/>
      <c r="K52" s="1"/>
    </row>
    <row r="53" spans="1:11" ht="28.5" customHeight="1">
      <c r="A53" s="18">
        <v>56</v>
      </c>
      <c r="B53" s="35" t="s">
        <v>380</v>
      </c>
      <c r="C53" s="36" t="s">
        <v>271</v>
      </c>
      <c r="D53" s="18">
        <v>23000</v>
      </c>
      <c r="E53" s="36">
        <v>22725</v>
      </c>
      <c r="F53" s="41" t="s">
        <v>381</v>
      </c>
      <c r="G53" s="1">
        <f t="shared" si="0"/>
        <v>11363</v>
      </c>
      <c r="H53" s="1"/>
      <c r="I53" s="1"/>
      <c r="J53" s="1"/>
      <c r="K53" s="1"/>
    </row>
    <row r="54" spans="1:11" ht="28.5" customHeight="1">
      <c r="A54" s="18">
        <v>58</v>
      </c>
      <c r="B54" s="35" t="s">
        <v>384</v>
      </c>
      <c r="C54" s="36" t="s">
        <v>271</v>
      </c>
      <c r="D54" s="18">
        <v>33460</v>
      </c>
      <c r="E54" s="36">
        <v>33185</v>
      </c>
      <c r="F54" s="41" t="s">
        <v>385</v>
      </c>
      <c r="G54" s="1">
        <f t="shared" si="0"/>
        <v>16593</v>
      </c>
      <c r="H54" s="1"/>
      <c r="I54" s="1"/>
      <c r="J54" s="1"/>
      <c r="K54" s="1"/>
    </row>
    <row r="55" spans="1:11" ht="28.5" customHeight="1">
      <c r="A55" s="18">
        <v>59</v>
      </c>
      <c r="B55" s="35" t="s">
        <v>386</v>
      </c>
      <c r="C55" s="36" t="s">
        <v>271</v>
      </c>
      <c r="D55" s="18">
        <v>17000</v>
      </c>
      <c r="E55" s="36">
        <v>16775</v>
      </c>
      <c r="F55" s="41" t="s">
        <v>387</v>
      </c>
      <c r="G55" s="1">
        <f t="shared" si="0"/>
        <v>8388</v>
      </c>
      <c r="H55" s="1"/>
      <c r="I55" s="1"/>
      <c r="J55" s="1"/>
      <c r="K55" s="1"/>
    </row>
    <row r="56" spans="1:11" ht="28.5" customHeight="1">
      <c r="A56" s="18">
        <v>60</v>
      </c>
      <c r="B56" s="35" t="s">
        <v>388</v>
      </c>
      <c r="C56" s="36" t="s">
        <v>271</v>
      </c>
      <c r="D56" s="18">
        <v>75000</v>
      </c>
      <c r="E56" s="36">
        <v>74725</v>
      </c>
      <c r="F56" s="41" t="s">
        <v>389</v>
      </c>
      <c r="G56" s="1">
        <f t="shared" si="0"/>
        <v>37363</v>
      </c>
      <c r="H56" s="1"/>
      <c r="I56" s="1"/>
      <c r="J56" s="1"/>
      <c r="K56" s="1"/>
    </row>
    <row r="57" spans="1:11" ht="28.5" customHeight="1">
      <c r="A57" s="18">
        <v>61</v>
      </c>
      <c r="B57" s="35" t="s">
        <v>390</v>
      </c>
      <c r="C57" s="36" t="s">
        <v>271</v>
      </c>
      <c r="D57" s="18">
        <v>18000</v>
      </c>
      <c r="E57" s="36">
        <v>17775</v>
      </c>
      <c r="F57" s="41" t="s">
        <v>391</v>
      </c>
      <c r="G57" s="1">
        <f t="shared" si="0"/>
        <v>8888</v>
      </c>
      <c r="H57" s="1"/>
      <c r="I57" s="1"/>
      <c r="J57" s="1"/>
      <c r="K57" s="1"/>
    </row>
    <row r="58" spans="1:11" ht="28.5" customHeight="1">
      <c r="A58" s="18">
        <v>62</v>
      </c>
      <c r="B58" s="35" t="s">
        <v>392</v>
      </c>
      <c r="C58" s="36" t="s">
        <v>271</v>
      </c>
      <c r="D58" s="18">
        <v>50000</v>
      </c>
      <c r="E58" s="36">
        <v>49725</v>
      </c>
      <c r="F58" s="41" t="s">
        <v>393</v>
      </c>
      <c r="G58" s="1">
        <f t="shared" si="0"/>
        <v>24863</v>
      </c>
      <c r="H58" s="1"/>
      <c r="I58" s="1"/>
      <c r="J58" s="1"/>
      <c r="K58" s="1"/>
    </row>
    <row r="59" spans="1:11" ht="28.5" customHeight="1">
      <c r="A59" s="18">
        <v>63</v>
      </c>
      <c r="B59" s="35" t="s">
        <v>394</v>
      </c>
      <c r="C59" s="36" t="s">
        <v>271</v>
      </c>
      <c r="D59" s="18">
        <v>31460</v>
      </c>
      <c r="E59" s="36">
        <v>31185</v>
      </c>
      <c r="F59" s="41" t="s">
        <v>395</v>
      </c>
      <c r="G59" s="1">
        <f t="shared" si="0"/>
        <v>15593</v>
      </c>
      <c r="H59" s="1"/>
      <c r="I59" s="1"/>
      <c r="J59" s="1"/>
      <c r="K59" s="1"/>
    </row>
    <row r="60" spans="1:11" ht="28.5" customHeight="1">
      <c r="A60" s="18">
        <v>64</v>
      </c>
      <c r="B60" s="35" t="s">
        <v>396</v>
      </c>
      <c r="C60" s="36" t="s">
        <v>271</v>
      </c>
      <c r="D60" s="18">
        <v>65000</v>
      </c>
      <c r="E60" s="36">
        <v>64725</v>
      </c>
      <c r="F60" s="41" t="s">
        <v>397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65</v>
      </c>
      <c r="B61" s="35" t="s">
        <v>398</v>
      </c>
      <c r="C61" s="36" t="s">
        <v>271</v>
      </c>
      <c r="D61" s="18">
        <v>15000</v>
      </c>
      <c r="E61" s="36">
        <v>14970</v>
      </c>
      <c r="F61" s="41" t="s">
        <v>399</v>
      </c>
      <c r="G61" s="1">
        <f t="shared" si="0"/>
        <v>7485</v>
      </c>
      <c r="H61" s="1"/>
      <c r="I61" s="1"/>
      <c r="J61" s="1"/>
      <c r="K61" s="1"/>
    </row>
    <row r="62" spans="1:11" ht="28.5" customHeight="1">
      <c r="A62" s="18">
        <v>66</v>
      </c>
      <c r="B62" s="35" t="s">
        <v>168</v>
      </c>
      <c r="C62" s="36" t="s">
        <v>271</v>
      </c>
      <c r="D62" s="18">
        <v>15000</v>
      </c>
      <c r="E62" s="36">
        <v>13170</v>
      </c>
      <c r="F62" s="41" t="s">
        <v>169</v>
      </c>
      <c r="G62" s="1">
        <f t="shared" si="0"/>
        <v>6585</v>
      </c>
      <c r="H62" s="1"/>
      <c r="I62" s="1"/>
      <c r="J62" s="1"/>
      <c r="K62" s="1"/>
    </row>
    <row r="63" spans="1:11" ht="28.5" customHeight="1">
      <c r="A63" s="18">
        <v>67</v>
      </c>
      <c r="B63" s="35" t="s">
        <v>400</v>
      </c>
      <c r="C63" s="36" t="s">
        <v>271</v>
      </c>
      <c r="D63" s="18">
        <v>25000</v>
      </c>
      <c r="E63" s="36">
        <v>24725</v>
      </c>
      <c r="F63" s="41" t="s">
        <v>401</v>
      </c>
      <c r="G63" s="1">
        <f t="shared" si="0"/>
        <v>12363</v>
      </c>
      <c r="H63" s="1"/>
      <c r="I63" s="1"/>
      <c r="J63" s="1"/>
      <c r="K63" s="1"/>
    </row>
    <row r="64" spans="1:11" ht="28.5" customHeight="1">
      <c r="A64" s="18">
        <v>68</v>
      </c>
      <c r="B64" s="35" t="s">
        <v>402</v>
      </c>
      <c r="C64" s="36" t="s">
        <v>403</v>
      </c>
      <c r="D64" s="18">
        <v>40395</v>
      </c>
      <c r="E64" s="36">
        <v>36520</v>
      </c>
      <c r="F64" s="41" t="s">
        <v>404</v>
      </c>
      <c r="G64" s="1">
        <f t="shared" si="0"/>
        <v>18260</v>
      </c>
      <c r="H64" s="1"/>
      <c r="I64" s="1"/>
      <c r="J64" s="1"/>
      <c r="K64" s="1"/>
    </row>
    <row r="65" spans="1:11" ht="28.5" customHeight="1">
      <c r="A65" s="18">
        <v>69</v>
      </c>
      <c r="B65" s="35" t="s">
        <v>405</v>
      </c>
      <c r="C65" s="36" t="s">
        <v>266</v>
      </c>
      <c r="D65" s="18">
        <v>49126</v>
      </c>
      <c r="E65" s="36">
        <v>45251</v>
      </c>
      <c r="F65" s="41" t="s">
        <v>406</v>
      </c>
      <c r="G65" s="1">
        <f t="shared" si="0"/>
        <v>22626</v>
      </c>
      <c r="H65" s="1"/>
      <c r="I65" s="1"/>
      <c r="J65" s="1"/>
      <c r="K65" s="1"/>
    </row>
    <row r="66" spans="1:11" ht="28.5" customHeight="1">
      <c r="A66" s="18">
        <v>70</v>
      </c>
      <c r="B66" s="35" t="s">
        <v>407</v>
      </c>
      <c r="C66" s="36" t="s">
        <v>266</v>
      </c>
      <c r="D66" s="18">
        <v>50000</v>
      </c>
      <c r="E66" s="36">
        <v>49725</v>
      </c>
      <c r="F66" s="41" t="s">
        <v>408</v>
      </c>
      <c r="G66" s="1">
        <f t="shared" si="0"/>
        <v>24863</v>
      </c>
      <c r="H66" s="1"/>
      <c r="I66" s="1"/>
      <c r="J66" s="1"/>
      <c r="K66" s="1"/>
    </row>
    <row r="67" spans="1:11" ht="28.5" customHeight="1">
      <c r="A67" s="18">
        <v>72</v>
      </c>
      <c r="B67" s="35" t="s">
        <v>410</v>
      </c>
      <c r="C67" s="36" t="s">
        <v>266</v>
      </c>
      <c r="D67" s="18">
        <v>75000</v>
      </c>
      <c r="E67" s="36">
        <v>74725</v>
      </c>
      <c r="F67" s="41" t="s">
        <v>411</v>
      </c>
      <c r="G67" s="1">
        <f t="shared" si="0"/>
        <v>37363</v>
      </c>
      <c r="H67" s="1"/>
      <c r="I67" s="1"/>
      <c r="J67" s="1"/>
      <c r="K67" s="1"/>
    </row>
    <row r="68" spans="1:11" ht="28.5" customHeight="1">
      <c r="A68" s="18">
        <v>73</v>
      </c>
      <c r="B68" s="35" t="s">
        <v>412</v>
      </c>
      <c r="C68" s="36" t="s">
        <v>266</v>
      </c>
      <c r="D68" s="18">
        <v>50000</v>
      </c>
      <c r="E68" s="36">
        <v>49725</v>
      </c>
      <c r="F68" s="41" t="s">
        <v>413</v>
      </c>
      <c r="G68" s="1">
        <f t="shared" si="0"/>
        <v>24863</v>
      </c>
      <c r="H68" s="1"/>
      <c r="I68" s="1"/>
      <c r="J68" s="1"/>
      <c r="K68" s="1"/>
    </row>
    <row r="69" spans="1:11" ht="28.5" customHeight="1">
      <c r="A69" s="18">
        <v>74</v>
      </c>
      <c r="B69" s="35" t="s">
        <v>414</v>
      </c>
      <c r="C69" s="36" t="s">
        <v>271</v>
      </c>
      <c r="D69" s="18">
        <v>17000</v>
      </c>
      <c r="E69" s="36">
        <v>20725</v>
      </c>
      <c r="F69" s="41" t="s">
        <v>415</v>
      </c>
      <c r="G69" s="1">
        <f t="shared" si="0"/>
        <v>10363</v>
      </c>
      <c r="H69" s="1"/>
      <c r="I69" s="1"/>
      <c r="J69" s="1"/>
      <c r="K69" s="1"/>
    </row>
    <row r="70" spans="1:11" ht="28.5" customHeight="1">
      <c r="A70" s="18">
        <v>76</v>
      </c>
      <c r="B70" s="35" t="s">
        <v>418</v>
      </c>
      <c r="C70" s="36" t="s">
        <v>271</v>
      </c>
      <c r="D70" s="18">
        <v>30000</v>
      </c>
      <c r="E70" s="36">
        <v>29725</v>
      </c>
      <c r="F70" s="41" t="s">
        <v>419</v>
      </c>
      <c r="G70" s="1">
        <f t="shared" si="0"/>
        <v>14863</v>
      </c>
      <c r="H70" s="1"/>
      <c r="I70" s="1"/>
      <c r="J70" s="1"/>
      <c r="K70" s="1"/>
    </row>
    <row r="71" spans="1:11" ht="28.5" customHeight="1">
      <c r="A71" s="18">
        <v>77</v>
      </c>
      <c r="B71" s="35" t="s">
        <v>420</v>
      </c>
      <c r="C71" s="36" t="s">
        <v>271</v>
      </c>
      <c r="D71" s="18">
        <v>32000</v>
      </c>
      <c r="E71" s="36">
        <v>31725</v>
      </c>
      <c r="F71" s="41" t="s">
        <v>421</v>
      </c>
      <c r="G71" s="1">
        <f t="shared" si="0"/>
        <v>15863</v>
      </c>
      <c r="H71" s="1"/>
      <c r="I71" s="1"/>
      <c r="J71" s="1"/>
      <c r="K71" s="1"/>
    </row>
    <row r="72" spans="1:11" ht="28.5" customHeight="1">
      <c r="A72" s="18">
        <v>79</v>
      </c>
      <c r="B72" s="35" t="s">
        <v>424</v>
      </c>
      <c r="C72" s="36" t="s">
        <v>271</v>
      </c>
      <c r="D72" s="18">
        <v>35000</v>
      </c>
      <c r="E72" s="36">
        <v>34725</v>
      </c>
      <c r="F72" s="41" t="s">
        <v>425</v>
      </c>
      <c r="G72" s="1">
        <f t="shared" si="0"/>
        <v>17363</v>
      </c>
      <c r="H72" s="1"/>
      <c r="I72" s="1"/>
      <c r="J72" s="1"/>
      <c r="K72" s="1"/>
    </row>
    <row r="73" spans="1:11" ht="28.5" customHeight="1">
      <c r="A73" s="18">
        <v>80</v>
      </c>
      <c r="B73" s="35" t="s">
        <v>426</v>
      </c>
      <c r="C73" s="36" t="s">
        <v>427</v>
      </c>
      <c r="D73" s="18">
        <v>52000</v>
      </c>
      <c r="E73" s="36">
        <v>51770</v>
      </c>
      <c r="F73" s="41" t="s">
        <v>428</v>
      </c>
      <c r="G73" s="1">
        <f t="shared" si="0"/>
        <v>25885</v>
      </c>
      <c r="H73" s="1"/>
      <c r="I73" s="1"/>
      <c r="J73" s="1"/>
      <c r="K73" s="1"/>
    </row>
    <row r="74" spans="1:11" ht="28.5" customHeight="1">
      <c r="A74" s="18">
        <v>81</v>
      </c>
      <c r="B74" s="35" t="s">
        <v>429</v>
      </c>
      <c r="C74" s="36" t="s">
        <v>271</v>
      </c>
      <c r="D74" s="18">
        <v>29000</v>
      </c>
      <c r="E74" s="36">
        <v>28770</v>
      </c>
      <c r="F74" s="41" t="s">
        <v>430</v>
      </c>
      <c r="G74" s="1">
        <f t="shared" si="0"/>
        <v>14385</v>
      </c>
      <c r="H74" s="1"/>
      <c r="I74" s="1"/>
      <c r="J74" s="1"/>
      <c r="K74" s="1"/>
    </row>
    <row r="75" spans="1:11" ht="28.5" customHeight="1">
      <c r="A75" s="18">
        <v>82</v>
      </c>
      <c r="B75" s="35" t="s">
        <v>431</v>
      </c>
      <c r="C75" s="36" t="s">
        <v>271</v>
      </c>
      <c r="D75" s="18">
        <v>15000</v>
      </c>
      <c r="E75" s="36">
        <v>14970</v>
      </c>
      <c r="F75" s="41" t="s">
        <v>432</v>
      </c>
      <c r="G75" s="1">
        <f t="shared" si="0"/>
        <v>7485</v>
      </c>
      <c r="H75" s="1"/>
      <c r="I75" s="1"/>
      <c r="J75" s="1"/>
      <c r="K75" s="1"/>
    </row>
    <row r="76" spans="1:11" ht="28.5" customHeight="1">
      <c r="A76" s="18">
        <v>83</v>
      </c>
      <c r="B76" s="35" t="s">
        <v>433</v>
      </c>
      <c r="C76" s="36" t="s">
        <v>271</v>
      </c>
      <c r="D76" s="18">
        <v>50000</v>
      </c>
      <c r="E76" s="36">
        <v>49770</v>
      </c>
      <c r="F76" s="41" t="s">
        <v>434</v>
      </c>
      <c r="G76" s="1">
        <f t="shared" si="0"/>
        <v>24885</v>
      </c>
      <c r="H76" s="1"/>
      <c r="I76" s="1"/>
      <c r="J76" s="1"/>
      <c r="K76" s="1"/>
    </row>
    <row r="77" spans="1:11" ht="28.5" customHeight="1">
      <c r="A77" s="18">
        <v>84</v>
      </c>
      <c r="B77" s="35" t="s">
        <v>435</v>
      </c>
      <c r="C77" s="36" t="s">
        <v>271</v>
      </c>
      <c r="D77" s="18">
        <v>16000</v>
      </c>
      <c r="E77" s="36">
        <v>15820</v>
      </c>
      <c r="F77" s="41" t="s">
        <v>436</v>
      </c>
      <c r="G77" s="1">
        <f t="shared" si="0"/>
        <v>7910</v>
      </c>
      <c r="H77" s="1"/>
      <c r="I77" s="1"/>
      <c r="J77" s="1"/>
      <c r="K77" s="1"/>
    </row>
    <row r="78" spans="1:11" ht="28.5" customHeight="1">
      <c r="A78" s="18">
        <v>85</v>
      </c>
      <c r="B78" s="35" t="s">
        <v>437</v>
      </c>
      <c r="C78" s="36" t="s">
        <v>271</v>
      </c>
      <c r="D78" s="18">
        <v>12000</v>
      </c>
      <c r="E78" s="36">
        <v>11925</v>
      </c>
      <c r="F78" s="41" t="s">
        <v>438</v>
      </c>
      <c r="G78" s="1">
        <f t="shared" si="0"/>
        <v>5963</v>
      </c>
      <c r="H78" s="1"/>
      <c r="I78" s="1"/>
      <c r="J78" s="1"/>
      <c r="K78" s="1"/>
    </row>
    <row r="79" spans="1:11" ht="28.5" customHeight="1">
      <c r="A79" s="18">
        <v>88</v>
      </c>
      <c r="B79" s="35" t="s">
        <v>443</v>
      </c>
      <c r="C79" s="36" t="s">
        <v>322</v>
      </c>
      <c r="D79" s="18">
        <v>65000</v>
      </c>
      <c r="E79" s="36">
        <v>64725</v>
      </c>
      <c r="F79" s="41" t="s">
        <v>444</v>
      </c>
      <c r="G79" s="1">
        <f t="shared" si="0"/>
        <v>32363</v>
      </c>
      <c r="H79" s="1"/>
      <c r="I79" s="1"/>
      <c r="J79" s="1"/>
      <c r="K79" s="1"/>
    </row>
    <row r="80" spans="1:11" ht="28.5" customHeight="1">
      <c r="A80" s="18">
        <v>89</v>
      </c>
      <c r="B80" s="35" t="s">
        <v>445</v>
      </c>
      <c r="C80" s="36" t="s">
        <v>374</v>
      </c>
      <c r="D80" s="18">
        <v>35000</v>
      </c>
      <c r="E80" s="36">
        <v>34725</v>
      </c>
      <c r="F80" s="41" t="s">
        <v>446</v>
      </c>
      <c r="G80" s="1">
        <f t="shared" si="0"/>
        <v>17363</v>
      </c>
      <c r="H80" s="1"/>
      <c r="I80" s="1"/>
      <c r="J80" s="1"/>
      <c r="K80" s="1"/>
    </row>
    <row r="81" spans="1:11" ht="28.5" customHeight="1">
      <c r="A81" s="18">
        <v>90</v>
      </c>
      <c r="B81" s="35" t="s">
        <v>447</v>
      </c>
      <c r="C81" s="36" t="s">
        <v>374</v>
      </c>
      <c r="D81" s="18">
        <v>45000</v>
      </c>
      <c r="E81" s="36">
        <v>44725</v>
      </c>
      <c r="F81" s="41" t="s">
        <v>448</v>
      </c>
      <c r="G81" s="1">
        <f t="shared" si="0"/>
        <v>22363</v>
      </c>
      <c r="H81" s="1"/>
      <c r="I81" s="1"/>
      <c r="J81" s="1"/>
      <c r="K81" s="1"/>
    </row>
    <row r="82" spans="1:11" ht="28.5" customHeight="1">
      <c r="A82" s="18">
        <v>91</v>
      </c>
      <c r="B82" s="35" t="s">
        <v>449</v>
      </c>
      <c r="C82" s="36" t="s">
        <v>374</v>
      </c>
      <c r="D82" s="18">
        <v>35000</v>
      </c>
      <c r="E82" s="36">
        <v>34725</v>
      </c>
      <c r="F82" s="41" t="s">
        <v>450</v>
      </c>
      <c r="G82" s="1">
        <f t="shared" si="0"/>
        <v>17363</v>
      </c>
      <c r="H82" s="1"/>
      <c r="I82" s="1"/>
      <c r="J82" s="1"/>
      <c r="K82" s="1"/>
    </row>
    <row r="83" spans="1:11" ht="28.5" customHeight="1">
      <c r="A83" s="18">
        <v>94</v>
      </c>
      <c r="B83" s="35" t="s">
        <v>455</v>
      </c>
      <c r="C83" s="36" t="s">
        <v>374</v>
      </c>
      <c r="D83" s="18">
        <v>50000</v>
      </c>
      <c r="E83" s="36">
        <v>49725</v>
      </c>
      <c r="F83" s="41" t="s">
        <v>456</v>
      </c>
      <c r="G83" s="1">
        <f t="shared" si="0"/>
        <v>24863</v>
      </c>
      <c r="H83" s="1"/>
      <c r="I83" s="1"/>
      <c r="J83" s="1"/>
      <c r="K83" s="1"/>
    </row>
    <row r="84" spans="1:11" ht="28.5" customHeight="1">
      <c r="A84" s="18">
        <v>95</v>
      </c>
      <c r="B84" s="35" t="s">
        <v>457</v>
      </c>
      <c r="C84" s="36" t="s">
        <v>403</v>
      </c>
      <c r="D84" s="18">
        <v>75085</v>
      </c>
      <c r="E84" s="36">
        <v>74810</v>
      </c>
      <c r="F84" s="41" t="s">
        <v>458</v>
      </c>
      <c r="G84" s="1">
        <f t="shared" si="0"/>
        <v>37405</v>
      </c>
      <c r="H84" s="1"/>
      <c r="I84" s="1"/>
      <c r="J84" s="1"/>
      <c r="K84" s="1"/>
    </row>
    <row r="85" spans="1:11" ht="28.5" customHeight="1">
      <c r="A85" s="18">
        <v>96</v>
      </c>
      <c r="B85" s="35" t="s">
        <v>459</v>
      </c>
      <c r="C85" s="36" t="s">
        <v>460</v>
      </c>
      <c r="D85" s="18">
        <v>35000</v>
      </c>
      <c r="E85" s="36">
        <v>34725</v>
      </c>
      <c r="F85" s="41" t="s">
        <v>461</v>
      </c>
      <c r="G85" s="1">
        <f t="shared" si="0"/>
        <v>17363</v>
      </c>
      <c r="H85" s="1"/>
      <c r="I85" s="1"/>
      <c r="J85" s="1"/>
      <c r="K85" s="1"/>
    </row>
    <row r="86" spans="1:11" ht="28.5" customHeight="1">
      <c r="A86" s="18">
        <v>97</v>
      </c>
      <c r="B86" s="35" t="s">
        <v>462</v>
      </c>
      <c r="C86" s="36" t="s">
        <v>271</v>
      </c>
      <c r="D86" s="18">
        <v>20000</v>
      </c>
      <c r="E86" s="36">
        <v>19775</v>
      </c>
      <c r="F86" s="41" t="s">
        <v>463</v>
      </c>
      <c r="G86" s="1">
        <f t="shared" si="0"/>
        <v>9888</v>
      </c>
      <c r="H86" s="1"/>
      <c r="I86" s="1"/>
      <c r="J86" s="1"/>
      <c r="K86" s="1"/>
    </row>
    <row r="87" spans="1:11" ht="28.5" customHeight="1">
      <c r="A87" s="18">
        <v>100</v>
      </c>
      <c r="B87" s="35" t="s">
        <v>468</v>
      </c>
      <c r="C87" s="36" t="s">
        <v>469</v>
      </c>
      <c r="D87" s="36">
        <v>74994</v>
      </c>
      <c r="E87" s="36">
        <v>71119</v>
      </c>
      <c r="F87" s="41" t="s">
        <v>470</v>
      </c>
      <c r="G87" s="1">
        <f t="shared" si="0"/>
        <v>35560</v>
      </c>
      <c r="H87" s="1"/>
      <c r="I87" s="1"/>
      <c r="J87" s="1"/>
      <c r="K87" s="1"/>
    </row>
    <row r="88" spans="1:11" ht="28.5" customHeight="1">
      <c r="A88" s="18">
        <v>101</v>
      </c>
      <c r="B88" s="35" t="s">
        <v>471</v>
      </c>
      <c r="C88" s="36" t="s">
        <v>266</v>
      </c>
      <c r="D88" s="18">
        <v>32905</v>
      </c>
      <c r="E88" s="36">
        <v>32630</v>
      </c>
      <c r="F88" s="41" t="s">
        <v>472</v>
      </c>
      <c r="G88" s="1">
        <f t="shared" si="0"/>
        <v>16315</v>
      </c>
      <c r="H88" s="1"/>
      <c r="I88" s="1"/>
      <c r="J88" s="1"/>
      <c r="K88" s="1"/>
    </row>
    <row r="89" spans="1:11" ht="28.5" customHeight="1">
      <c r="A89" s="18">
        <v>102</v>
      </c>
      <c r="B89" s="35" t="s">
        <v>473</v>
      </c>
      <c r="C89" s="36" t="s">
        <v>266</v>
      </c>
      <c r="D89" s="18">
        <v>32905</v>
      </c>
      <c r="E89" s="36">
        <v>32630</v>
      </c>
      <c r="F89" s="41" t="s">
        <v>474</v>
      </c>
      <c r="G89" s="1">
        <f t="shared" si="0"/>
        <v>16315</v>
      </c>
      <c r="H89" s="1"/>
      <c r="I89" s="1"/>
      <c r="J89" s="1"/>
      <c r="K89" s="1"/>
    </row>
    <row r="90" spans="1:11" ht="28.5" customHeight="1">
      <c r="A90" s="18">
        <v>103</v>
      </c>
      <c r="B90" s="35" t="s">
        <v>475</v>
      </c>
      <c r="C90" s="36" t="s">
        <v>271</v>
      </c>
      <c r="D90" s="18">
        <v>50000</v>
      </c>
      <c r="E90" s="36">
        <v>49725</v>
      </c>
      <c r="F90" s="41" t="s">
        <v>476</v>
      </c>
      <c r="G90" s="1">
        <f t="shared" si="0"/>
        <v>24863</v>
      </c>
      <c r="H90" s="1"/>
      <c r="I90" s="1"/>
      <c r="J90" s="1"/>
      <c r="K90" s="1"/>
    </row>
    <row r="91" spans="1:11" ht="28.5" customHeight="1">
      <c r="A91" s="18">
        <v>104</v>
      </c>
      <c r="B91" s="35" t="s">
        <v>477</v>
      </c>
      <c r="C91" s="36" t="s">
        <v>271</v>
      </c>
      <c r="D91" s="18">
        <v>35000</v>
      </c>
      <c r="E91" s="36">
        <v>34725</v>
      </c>
      <c r="F91" s="41" t="s">
        <v>478</v>
      </c>
      <c r="G91" s="1">
        <f t="shared" si="0"/>
        <v>17363</v>
      </c>
      <c r="H91" s="1"/>
      <c r="I91" s="1"/>
      <c r="J91" s="1"/>
      <c r="K91" s="1"/>
    </row>
    <row r="92" spans="1:11" ht="28.5" customHeight="1">
      <c r="A92" s="18">
        <v>105</v>
      </c>
      <c r="B92" s="35" t="s">
        <v>479</v>
      </c>
      <c r="C92" s="36" t="s">
        <v>271</v>
      </c>
      <c r="D92" s="18">
        <v>23460</v>
      </c>
      <c r="E92" s="36">
        <v>19585</v>
      </c>
      <c r="F92" s="41" t="s">
        <v>480</v>
      </c>
      <c r="G92" s="1">
        <f t="shared" si="0"/>
        <v>9793</v>
      </c>
      <c r="H92" s="1"/>
      <c r="I92" s="1"/>
      <c r="J92" s="1"/>
      <c r="K92" s="1"/>
    </row>
    <row r="93" spans="1:11" ht="28.5" customHeight="1">
      <c r="A93" s="18">
        <v>106</v>
      </c>
      <c r="B93" s="35" t="s">
        <v>481</v>
      </c>
      <c r="C93" s="36" t="s">
        <v>271</v>
      </c>
      <c r="D93" s="18">
        <v>35000</v>
      </c>
      <c r="E93" s="36">
        <v>34725</v>
      </c>
      <c r="F93" s="41" t="s">
        <v>482</v>
      </c>
      <c r="G93" s="1">
        <f t="shared" si="0"/>
        <v>17363</v>
      </c>
      <c r="H93" s="1"/>
      <c r="I93" s="1"/>
      <c r="J93" s="1"/>
      <c r="K93" s="1"/>
    </row>
    <row r="94" spans="1:11" ht="28.5" customHeight="1">
      <c r="A94" s="18">
        <v>107</v>
      </c>
      <c r="B94" s="35" t="s">
        <v>483</v>
      </c>
      <c r="C94" s="36" t="s">
        <v>484</v>
      </c>
      <c r="D94" s="36">
        <v>110277</v>
      </c>
      <c r="E94" s="36">
        <v>106402</v>
      </c>
      <c r="F94" s="41" t="s">
        <v>485</v>
      </c>
      <c r="G94" s="1">
        <f t="shared" si="0"/>
        <v>53201</v>
      </c>
      <c r="H94" s="1"/>
      <c r="I94" s="1"/>
      <c r="J94" s="1"/>
      <c r="K94" s="1"/>
    </row>
    <row r="95" spans="1:11" ht="28.5" customHeight="1">
      <c r="A95" s="18">
        <v>108</v>
      </c>
      <c r="B95" s="35" t="s">
        <v>486</v>
      </c>
      <c r="C95" s="36" t="s">
        <v>487</v>
      </c>
      <c r="D95" s="18">
        <v>54103</v>
      </c>
      <c r="E95" s="36">
        <v>53962</v>
      </c>
      <c r="F95" s="41" t="s">
        <v>488</v>
      </c>
      <c r="G95" s="1">
        <f t="shared" si="0"/>
        <v>26981</v>
      </c>
      <c r="H95" s="1"/>
      <c r="I95" s="1"/>
      <c r="J95" s="1"/>
      <c r="K95" s="1"/>
    </row>
    <row r="96" spans="1:11" ht="28.5" customHeight="1">
      <c r="A96" s="18">
        <v>109</v>
      </c>
      <c r="B96" s="35" t="s">
        <v>489</v>
      </c>
      <c r="C96" s="36" t="s">
        <v>266</v>
      </c>
      <c r="D96" s="18">
        <v>42275</v>
      </c>
      <c r="E96" s="36">
        <v>42000</v>
      </c>
      <c r="F96" s="41" t="s">
        <v>490</v>
      </c>
      <c r="G96" s="1">
        <f t="shared" si="0"/>
        <v>21000</v>
      </c>
      <c r="H96" s="1"/>
      <c r="I96" s="1"/>
      <c r="J96" s="1"/>
      <c r="K96" s="1"/>
    </row>
    <row r="97" spans="1:11" ht="28.5" customHeight="1">
      <c r="A97" s="18">
        <v>110</v>
      </c>
      <c r="B97" s="35" t="s">
        <v>491</v>
      </c>
      <c r="C97" s="36" t="s">
        <v>492</v>
      </c>
      <c r="D97" s="18">
        <v>75085</v>
      </c>
      <c r="E97" s="36">
        <v>71210</v>
      </c>
      <c r="F97" s="41" t="s">
        <v>493</v>
      </c>
      <c r="G97" s="1">
        <f t="shared" si="0"/>
        <v>35605</v>
      </c>
      <c r="H97" s="1"/>
      <c r="I97" s="1"/>
      <c r="J97" s="1"/>
      <c r="K97" s="1"/>
    </row>
    <row r="98" spans="1:11" ht="28.5" customHeight="1">
      <c r="A98" s="18">
        <v>111</v>
      </c>
      <c r="B98" s="35" t="s">
        <v>494</v>
      </c>
      <c r="C98" s="36" t="s">
        <v>495</v>
      </c>
      <c r="D98" s="18">
        <v>170000</v>
      </c>
      <c r="E98" s="36">
        <v>169725</v>
      </c>
      <c r="F98" s="41" t="s">
        <v>496</v>
      </c>
      <c r="G98" s="1">
        <f t="shared" si="0"/>
        <v>84863</v>
      </c>
      <c r="H98" s="1"/>
      <c r="I98" s="1"/>
      <c r="J98" s="1"/>
      <c r="K98" s="1"/>
    </row>
    <row r="99" spans="1:11" ht="28.5" customHeight="1">
      <c r="A99" s="18">
        <v>112</v>
      </c>
      <c r="B99" s="35" t="s">
        <v>497</v>
      </c>
      <c r="C99" s="36" t="s">
        <v>271</v>
      </c>
      <c r="D99" s="18">
        <v>24460</v>
      </c>
      <c r="E99" s="36">
        <v>24185</v>
      </c>
      <c r="F99" s="41" t="s">
        <v>498</v>
      </c>
      <c r="G99" s="1">
        <f t="shared" si="0"/>
        <v>12093</v>
      </c>
      <c r="H99" s="1"/>
      <c r="I99" s="1"/>
      <c r="J99" s="1"/>
      <c r="K99" s="1"/>
    </row>
    <row r="100" spans="1:11" ht="28.5" customHeight="1">
      <c r="A100" s="18">
        <v>113</v>
      </c>
      <c r="B100" s="20" t="s">
        <v>499</v>
      </c>
      <c r="C100" s="36" t="s">
        <v>271</v>
      </c>
      <c r="D100" s="18">
        <v>23460</v>
      </c>
      <c r="E100" s="36">
        <v>23185</v>
      </c>
      <c r="F100" s="41" t="s">
        <v>500</v>
      </c>
      <c r="G100" s="1">
        <f t="shared" si="0"/>
        <v>11593</v>
      </c>
      <c r="H100" s="1"/>
      <c r="I100" s="1"/>
      <c r="J100" s="1"/>
      <c r="K100" s="1"/>
    </row>
    <row r="101" spans="1:11" ht="28.5" customHeight="1">
      <c r="A101" s="18">
        <v>114</v>
      </c>
      <c r="B101" s="35" t="s">
        <v>501</v>
      </c>
      <c r="C101" s="36" t="s">
        <v>271</v>
      </c>
      <c r="D101" s="18">
        <v>39632</v>
      </c>
      <c r="E101" s="36">
        <v>40020</v>
      </c>
      <c r="F101" s="41" t="s">
        <v>502</v>
      </c>
      <c r="G101" s="1">
        <f t="shared" si="0"/>
        <v>20010</v>
      </c>
      <c r="H101" s="1"/>
      <c r="I101" s="1"/>
      <c r="J101" s="1"/>
      <c r="K101" s="1"/>
    </row>
    <row r="102" spans="1:11" ht="28.5" customHeight="1">
      <c r="A102" s="18">
        <v>115</v>
      </c>
      <c r="B102" s="35" t="s">
        <v>503</v>
      </c>
      <c r="C102" s="36" t="s">
        <v>271</v>
      </c>
      <c r="D102" s="18">
        <v>20460</v>
      </c>
      <c r="E102" s="36">
        <v>20185</v>
      </c>
      <c r="F102" s="41" t="s">
        <v>504</v>
      </c>
      <c r="G102" s="1">
        <f t="shared" si="0"/>
        <v>10093</v>
      </c>
      <c r="H102" s="1"/>
      <c r="I102" s="1"/>
      <c r="J102" s="1"/>
      <c r="K102" s="1"/>
    </row>
    <row r="103" spans="1:11" ht="28.5" customHeight="1">
      <c r="A103" s="18">
        <v>116</v>
      </c>
      <c r="B103" s="35" t="s">
        <v>505</v>
      </c>
      <c r="C103" s="36" t="s">
        <v>271</v>
      </c>
      <c r="D103" s="18">
        <v>18260</v>
      </c>
      <c r="E103" s="36">
        <v>18035</v>
      </c>
      <c r="F103" s="41" t="s">
        <v>506</v>
      </c>
      <c r="G103" s="1">
        <f t="shared" si="0"/>
        <v>9018</v>
      </c>
      <c r="H103" s="1"/>
      <c r="I103" s="1"/>
      <c r="J103" s="1"/>
      <c r="K103" s="1"/>
    </row>
    <row r="104" spans="1:11" ht="28.5" customHeight="1">
      <c r="A104" s="18">
        <v>117</v>
      </c>
      <c r="B104" s="35" t="s">
        <v>507</v>
      </c>
      <c r="C104" s="36" t="s">
        <v>271</v>
      </c>
      <c r="D104" s="18">
        <v>25000</v>
      </c>
      <c r="E104" s="18">
        <v>24725</v>
      </c>
      <c r="F104" s="41" t="s">
        <v>508</v>
      </c>
      <c r="G104" s="1">
        <f t="shared" si="0"/>
        <v>12363</v>
      </c>
      <c r="H104" s="1"/>
      <c r="I104" s="1"/>
      <c r="J104" s="1"/>
      <c r="K104" s="1"/>
    </row>
    <row r="105" spans="1:11" ht="28.5" customHeight="1">
      <c r="A105" s="18">
        <v>118</v>
      </c>
      <c r="B105" s="35" t="s">
        <v>509</v>
      </c>
      <c r="C105" s="36" t="s">
        <v>271</v>
      </c>
      <c r="D105" s="18">
        <v>25000</v>
      </c>
      <c r="E105" s="18">
        <v>24725</v>
      </c>
      <c r="F105" s="41" t="s">
        <v>510</v>
      </c>
      <c r="G105" s="1">
        <f t="shared" si="0"/>
        <v>12363</v>
      </c>
      <c r="H105" s="1"/>
      <c r="I105" s="1"/>
      <c r="J105" s="1"/>
      <c r="K105" s="1"/>
    </row>
    <row r="106" spans="1:11" ht="28.5" customHeight="1">
      <c r="A106" s="18">
        <v>119</v>
      </c>
      <c r="B106" s="35" t="s">
        <v>511</v>
      </c>
      <c r="C106" s="36" t="s">
        <v>427</v>
      </c>
      <c r="D106" s="18">
        <v>52000</v>
      </c>
      <c r="E106" s="18">
        <v>51725</v>
      </c>
      <c r="F106" s="41" t="s">
        <v>512</v>
      </c>
      <c r="G106" s="1">
        <f t="shared" si="0"/>
        <v>25863</v>
      </c>
      <c r="H106" s="1"/>
      <c r="I106" s="1"/>
      <c r="J106" s="1"/>
      <c r="K106" s="1"/>
    </row>
    <row r="107" spans="1:11" ht="28.5" customHeight="1">
      <c r="A107" s="18">
        <v>120</v>
      </c>
      <c r="B107" s="35" t="s">
        <v>513</v>
      </c>
      <c r="C107" s="36" t="s">
        <v>271</v>
      </c>
      <c r="D107" s="18">
        <v>22000</v>
      </c>
      <c r="E107" s="36">
        <v>21770</v>
      </c>
      <c r="F107" s="41" t="s">
        <v>514</v>
      </c>
      <c r="G107" s="1">
        <f t="shared" si="0"/>
        <v>10885</v>
      </c>
      <c r="H107" s="1"/>
      <c r="I107" s="1"/>
      <c r="J107" s="1"/>
      <c r="K107" s="1"/>
    </row>
    <row r="108" spans="1:11" ht="28.5" customHeight="1">
      <c r="A108" s="18">
        <v>122</v>
      </c>
      <c r="B108" s="35" t="s">
        <v>518</v>
      </c>
      <c r="C108" s="36" t="s">
        <v>266</v>
      </c>
      <c r="D108" s="18">
        <v>51516</v>
      </c>
      <c r="E108" s="36">
        <v>51241</v>
      </c>
      <c r="F108" s="41" t="s">
        <v>519</v>
      </c>
      <c r="G108" s="1">
        <f t="shared" si="0"/>
        <v>25621</v>
      </c>
      <c r="H108" s="1"/>
      <c r="I108" s="1"/>
      <c r="J108" s="1"/>
      <c r="K108" s="1"/>
    </row>
    <row r="109" spans="1:11" ht="28.5" customHeight="1">
      <c r="A109" s="18">
        <v>123</v>
      </c>
      <c r="B109" s="35" t="s">
        <v>520</v>
      </c>
      <c r="C109" s="36" t="s">
        <v>521</v>
      </c>
      <c r="D109" s="18">
        <v>62759</v>
      </c>
      <c r="E109" s="36">
        <v>58884</v>
      </c>
      <c r="F109" s="41" t="s">
        <v>522</v>
      </c>
      <c r="G109" s="1">
        <f t="shared" si="0"/>
        <v>29442</v>
      </c>
      <c r="H109" s="1"/>
      <c r="I109" s="1"/>
      <c r="J109" s="1"/>
      <c r="K109" s="1"/>
    </row>
    <row r="110" spans="1:11" ht="28.5" customHeight="1">
      <c r="A110" s="18">
        <v>124</v>
      </c>
      <c r="B110" s="35" t="s">
        <v>523</v>
      </c>
      <c r="C110" s="36" t="s">
        <v>266</v>
      </c>
      <c r="D110" s="36">
        <v>30000</v>
      </c>
      <c r="E110" s="36">
        <v>26125</v>
      </c>
      <c r="F110" s="41" t="s">
        <v>524</v>
      </c>
      <c r="G110" s="1">
        <f t="shared" si="0"/>
        <v>13063</v>
      </c>
      <c r="H110" s="1"/>
      <c r="I110" s="1"/>
      <c r="J110" s="1"/>
      <c r="K110" s="1"/>
    </row>
    <row r="111" spans="1:11" ht="28.5" customHeight="1">
      <c r="A111" s="18">
        <v>125</v>
      </c>
      <c r="B111" s="35" t="s">
        <v>525</v>
      </c>
      <c r="C111" s="36" t="s">
        <v>271</v>
      </c>
      <c r="D111" s="18">
        <v>35000</v>
      </c>
      <c r="E111" s="36">
        <v>34725</v>
      </c>
      <c r="F111" s="41" t="s">
        <v>526</v>
      </c>
      <c r="G111" s="1">
        <f t="shared" si="0"/>
        <v>17363</v>
      </c>
      <c r="H111" s="1"/>
      <c r="I111" s="1"/>
      <c r="J111" s="1"/>
      <c r="K111" s="1"/>
    </row>
    <row r="112" spans="1:11" ht="28.5" customHeight="1">
      <c r="A112" s="18">
        <v>126</v>
      </c>
      <c r="B112" s="35" t="s">
        <v>527</v>
      </c>
      <c r="C112" s="36" t="s">
        <v>322</v>
      </c>
      <c r="D112" s="18">
        <v>50000</v>
      </c>
      <c r="E112" s="36">
        <v>49725</v>
      </c>
      <c r="F112" s="41" t="s">
        <v>528</v>
      </c>
      <c r="G112" s="1">
        <f t="shared" si="0"/>
        <v>24863</v>
      </c>
      <c r="H112" s="1"/>
      <c r="I112" s="1"/>
      <c r="J112" s="1"/>
      <c r="K112" s="1"/>
    </row>
    <row r="113" spans="1:11" ht="28.5" customHeight="1">
      <c r="A113" s="18">
        <v>127</v>
      </c>
      <c r="B113" s="35" t="s">
        <v>529</v>
      </c>
      <c r="C113" s="36" t="s">
        <v>271</v>
      </c>
      <c r="D113" s="36">
        <v>30000</v>
      </c>
      <c r="E113" s="36">
        <v>29725</v>
      </c>
      <c r="F113" s="41" t="s">
        <v>530</v>
      </c>
      <c r="G113" s="1">
        <f t="shared" si="0"/>
        <v>14863</v>
      </c>
      <c r="H113" s="1"/>
      <c r="I113" s="1"/>
      <c r="J113" s="1"/>
      <c r="K113" s="1"/>
    </row>
    <row r="114" spans="1:11" ht="28.5" customHeight="1">
      <c r="A114" s="18">
        <v>128</v>
      </c>
      <c r="B114" s="35" t="s">
        <v>531</v>
      </c>
      <c r="C114" s="36" t="s">
        <v>271</v>
      </c>
      <c r="D114" s="18">
        <v>24460</v>
      </c>
      <c r="E114" s="36">
        <v>24185</v>
      </c>
      <c r="F114" s="41" t="s">
        <v>532</v>
      </c>
      <c r="G114" s="1">
        <f t="shared" si="0"/>
        <v>12093</v>
      </c>
      <c r="H114" s="1"/>
      <c r="I114" s="1"/>
      <c r="J114" s="1"/>
      <c r="K114" s="1"/>
    </row>
    <row r="115" spans="1:11" ht="28.5" customHeight="1">
      <c r="A115" s="18">
        <v>129</v>
      </c>
      <c r="B115" s="35" t="s">
        <v>533</v>
      </c>
      <c r="C115" s="36" t="s">
        <v>271</v>
      </c>
      <c r="D115" s="36">
        <v>23000</v>
      </c>
      <c r="E115" s="36">
        <v>22725</v>
      </c>
      <c r="F115" s="41" t="s">
        <v>534</v>
      </c>
      <c r="G115" s="1">
        <f t="shared" si="0"/>
        <v>11363</v>
      </c>
      <c r="H115" s="1"/>
      <c r="I115" s="1"/>
      <c r="J115" s="1"/>
      <c r="K115" s="1"/>
    </row>
    <row r="116" spans="1:11" ht="28.5" customHeight="1">
      <c r="A116" s="18">
        <v>130</v>
      </c>
      <c r="B116" s="35" t="s">
        <v>535</v>
      </c>
      <c r="C116" s="36" t="s">
        <v>271</v>
      </c>
      <c r="D116" s="18">
        <v>32460</v>
      </c>
      <c r="E116" s="36">
        <v>32185</v>
      </c>
      <c r="F116" s="41" t="s">
        <v>536</v>
      </c>
      <c r="G116" s="1">
        <f t="shared" si="0"/>
        <v>16093</v>
      </c>
      <c r="H116" s="1"/>
      <c r="I116" s="1"/>
      <c r="J116" s="1"/>
      <c r="K116" s="1"/>
    </row>
    <row r="117" spans="1:11" ht="28.5" customHeight="1">
      <c r="A117" s="18">
        <v>131</v>
      </c>
      <c r="B117" s="35" t="s">
        <v>537</v>
      </c>
      <c r="C117" s="36" t="s">
        <v>271</v>
      </c>
      <c r="D117" s="36">
        <v>22000</v>
      </c>
      <c r="E117" s="36">
        <v>21725</v>
      </c>
      <c r="F117" s="41" t="s">
        <v>538</v>
      </c>
      <c r="G117" s="1">
        <f t="shared" si="0"/>
        <v>10863</v>
      </c>
      <c r="H117" s="1"/>
      <c r="I117" s="1"/>
      <c r="J117" s="1"/>
      <c r="K117" s="1"/>
    </row>
    <row r="118" spans="1:11" ht="28.5" customHeight="1">
      <c r="A118" s="18">
        <v>132</v>
      </c>
      <c r="B118" s="35" t="s">
        <v>539</v>
      </c>
      <c r="C118" s="36" t="s">
        <v>271</v>
      </c>
      <c r="D118" s="18">
        <v>35000</v>
      </c>
      <c r="E118" s="36">
        <v>34725</v>
      </c>
      <c r="F118" s="41" t="s">
        <v>540</v>
      </c>
      <c r="G118" s="1">
        <f t="shared" si="0"/>
        <v>17363</v>
      </c>
      <c r="H118" s="1"/>
      <c r="I118" s="1"/>
      <c r="J118" s="1"/>
      <c r="K118" s="1"/>
    </row>
    <row r="119" spans="1:11" ht="28.5" customHeight="1">
      <c r="A119" s="18">
        <v>133</v>
      </c>
      <c r="B119" s="35" t="s">
        <v>541</v>
      </c>
      <c r="C119" s="36" t="s">
        <v>271</v>
      </c>
      <c r="D119" s="36">
        <v>30000</v>
      </c>
      <c r="E119" s="36">
        <v>29725</v>
      </c>
      <c r="F119" s="41" t="s">
        <v>542</v>
      </c>
      <c r="G119" s="1">
        <f t="shared" si="0"/>
        <v>14863</v>
      </c>
      <c r="H119" s="1"/>
      <c r="I119" s="1"/>
      <c r="J119" s="1"/>
      <c r="K119" s="1"/>
    </row>
    <row r="120" spans="1:11" ht="28.5" customHeight="1">
      <c r="A120" s="18">
        <v>134</v>
      </c>
      <c r="B120" s="35" t="s">
        <v>543</v>
      </c>
      <c r="C120" s="36" t="s">
        <v>271</v>
      </c>
      <c r="D120" s="36">
        <v>17500</v>
      </c>
      <c r="E120" s="36">
        <v>17275</v>
      </c>
      <c r="F120" s="41" t="s">
        <v>544</v>
      </c>
      <c r="G120" s="1">
        <f t="shared" si="0"/>
        <v>8638</v>
      </c>
      <c r="H120" s="1"/>
      <c r="I120" s="1"/>
      <c r="J120" s="1"/>
      <c r="K120" s="1"/>
    </row>
    <row r="121" spans="1:11" ht="28.5" customHeight="1">
      <c r="A121" s="18">
        <v>135</v>
      </c>
      <c r="B121" s="35" t="s">
        <v>545</v>
      </c>
      <c r="C121" s="36" t="s">
        <v>271</v>
      </c>
      <c r="D121" s="36">
        <v>18000</v>
      </c>
      <c r="E121" s="36">
        <v>17775</v>
      </c>
      <c r="F121" s="41" t="s">
        <v>546</v>
      </c>
      <c r="G121" s="1">
        <f t="shared" si="0"/>
        <v>8888</v>
      </c>
      <c r="H121" s="1"/>
      <c r="I121" s="1"/>
      <c r="J121" s="1"/>
      <c r="K121" s="1"/>
    </row>
    <row r="122" spans="1:11" ht="28.5" customHeight="1">
      <c r="A122" s="18">
        <v>136</v>
      </c>
      <c r="B122" s="35" t="s">
        <v>547</v>
      </c>
      <c r="C122" s="36" t="s">
        <v>271</v>
      </c>
      <c r="D122" s="36">
        <v>20000</v>
      </c>
      <c r="E122" s="36">
        <v>19775</v>
      </c>
      <c r="F122" s="41" t="s">
        <v>548</v>
      </c>
      <c r="G122" s="1">
        <f t="shared" si="0"/>
        <v>9888</v>
      </c>
      <c r="H122" s="1"/>
      <c r="I122" s="1"/>
      <c r="J122" s="1"/>
      <c r="K122" s="1"/>
    </row>
    <row r="123" spans="1:11" ht="28.5" customHeight="1">
      <c r="A123" s="18">
        <v>137</v>
      </c>
      <c r="B123" s="35" t="s">
        <v>549</v>
      </c>
      <c r="C123" s="36" t="s">
        <v>271</v>
      </c>
      <c r="D123" s="36">
        <v>18000</v>
      </c>
      <c r="E123" s="36">
        <v>17775</v>
      </c>
      <c r="F123" s="41" t="s">
        <v>550</v>
      </c>
      <c r="G123" s="1">
        <f t="shared" si="0"/>
        <v>8888</v>
      </c>
      <c r="H123" s="1"/>
      <c r="I123" s="1"/>
      <c r="J123" s="1"/>
      <c r="K123" s="1"/>
    </row>
    <row r="124" spans="1:11" ht="28.5" customHeight="1">
      <c r="A124" s="18">
        <v>138</v>
      </c>
      <c r="B124" s="35" t="s">
        <v>551</v>
      </c>
      <c r="C124" s="36" t="s">
        <v>271</v>
      </c>
      <c r="D124" s="36">
        <v>29000</v>
      </c>
      <c r="E124" s="36">
        <v>28725</v>
      </c>
      <c r="F124" s="41" t="s">
        <v>552</v>
      </c>
      <c r="G124" s="1">
        <f t="shared" si="0"/>
        <v>14363</v>
      </c>
      <c r="H124" s="1"/>
      <c r="I124" s="1"/>
      <c r="J124" s="1"/>
      <c r="K124" s="1"/>
    </row>
    <row r="125" spans="1:11" ht="28.5" customHeight="1">
      <c r="A125" s="18">
        <v>139</v>
      </c>
      <c r="B125" s="35" t="s">
        <v>553</v>
      </c>
      <c r="C125" s="36" t="s">
        <v>271</v>
      </c>
      <c r="D125" s="36">
        <v>18000</v>
      </c>
      <c r="E125" s="36">
        <v>17775</v>
      </c>
      <c r="F125" s="41" t="s">
        <v>554</v>
      </c>
      <c r="G125" s="1">
        <f t="shared" si="0"/>
        <v>8888</v>
      </c>
      <c r="H125" s="1"/>
      <c r="I125" s="1"/>
      <c r="J125" s="1"/>
      <c r="K125" s="1"/>
    </row>
    <row r="126" spans="1:11" ht="28.5" customHeight="1">
      <c r="A126" s="18">
        <v>140</v>
      </c>
      <c r="B126" s="35" t="s">
        <v>555</v>
      </c>
      <c r="C126" s="36" t="s">
        <v>271</v>
      </c>
      <c r="D126" s="36">
        <v>18000</v>
      </c>
      <c r="E126" s="36">
        <v>17775</v>
      </c>
      <c r="F126" s="41" t="s">
        <v>556</v>
      </c>
      <c r="G126" s="1">
        <f t="shared" si="0"/>
        <v>8888</v>
      </c>
      <c r="H126" s="1"/>
      <c r="I126" s="1"/>
      <c r="J126" s="1"/>
      <c r="K126" s="1"/>
    </row>
    <row r="127" spans="1:11" ht="28.5" customHeight="1">
      <c r="A127" s="18">
        <v>141</v>
      </c>
      <c r="B127" s="35" t="s">
        <v>557</v>
      </c>
      <c r="C127" s="36" t="s">
        <v>271</v>
      </c>
      <c r="D127" s="36">
        <v>26000</v>
      </c>
      <c r="E127" s="36">
        <v>25725</v>
      </c>
      <c r="F127" s="41" t="s">
        <v>558</v>
      </c>
      <c r="G127" s="1">
        <f t="shared" si="0"/>
        <v>12863</v>
      </c>
      <c r="H127" s="1"/>
      <c r="I127" s="1"/>
      <c r="J127" s="1"/>
      <c r="K127" s="1"/>
    </row>
    <row r="128" spans="1:11" ht="28.5" customHeight="1">
      <c r="A128" s="18">
        <v>143</v>
      </c>
      <c r="B128" s="35" t="s">
        <v>561</v>
      </c>
      <c r="C128" s="36" t="s">
        <v>271</v>
      </c>
      <c r="D128" s="36">
        <v>21000</v>
      </c>
      <c r="E128" s="36">
        <v>20725</v>
      </c>
      <c r="F128" s="41" t="s">
        <v>562</v>
      </c>
      <c r="G128" s="1">
        <f t="shared" si="0"/>
        <v>10363</v>
      </c>
      <c r="H128" s="1"/>
      <c r="I128" s="1"/>
      <c r="J128" s="1"/>
      <c r="K128" s="1"/>
    </row>
    <row r="129" spans="1:11" ht="28.5" customHeight="1">
      <c r="A129" s="18">
        <v>146</v>
      </c>
      <c r="B129" s="35" t="s">
        <v>567</v>
      </c>
      <c r="C129" s="36" t="s">
        <v>427</v>
      </c>
      <c r="D129" s="18">
        <v>52000</v>
      </c>
      <c r="E129" s="36">
        <v>51725</v>
      </c>
      <c r="F129" s="41" t="s">
        <v>568</v>
      </c>
      <c r="G129" s="1">
        <f t="shared" si="0"/>
        <v>25863</v>
      </c>
      <c r="H129" s="1"/>
      <c r="I129" s="1"/>
      <c r="J129" s="1"/>
      <c r="K129" s="1"/>
    </row>
    <row r="130" spans="1:11" ht="28.5" customHeight="1">
      <c r="A130" s="18">
        <v>147</v>
      </c>
      <c r="B130" s="35" t="s">
        <v>569</v>
      </c>
      <c r="C130" s="36" t="s">
        <v>427</v>
      </c>
      <c r="D130" s="18">
        <v>52000</v>
      </c>
      <c r="E130" s="36">
        <v>51725</v>
      </c>
      <c r="F130" s="41" t="s">
        <v>570</v>
      </c>
      <c r="G130" s="1">
        <f t="shared" si="0"/>
        <v>25863</v>
      </c>
      <c r="H130" s="1"/>
      <c r="I130" s="1"/>
      <c r="J130" s="1"/>
      <c r="K130" s="1"/>
    </row>
    <row r="131" spans="1:11" ht="28.5" customHeight="1">
      <c r="A131" s="18">
        <v>148</v>
      </c>
      <c r="B131" s="35" t="s">
        <v>571</v>
      </c>
      <c r="C131" s="36" t="s">
        <v>374</v>
      </c>
      <c r="D131" s="18">
        <v>18000</v>
      </c>
      <c r="E131" s="36">
        <v>17775</v>
      </c>
      <c r="F131" s="41" t="s">
        <v>572</v>
      </c>
      <c r="G131" s="1">
        <f t="shared" si="0"/>
        <v>8888</v>
      </c>
      <c r="H131" s="1"/>
      <c r="I131" s="1"/>
      <c r="J131" s="1"/>
      <c r="K131" s="1"/>
    </row>
    <row r="132" spans="1:11" ht="28.5" customHeight="1">
      <c r="A132" s="18">
        <v>149</v>
      </c>
      <c r="B132" s="35" t="s">
        <v>573</v>
      </c>
      <c r="C132" s="36" t="s">
        <v>374</v>
      </c>
      <c r="D132" s="18">
        <v>18000</v>
      </c>
      <c r="E132" s="36">
        <v>17775</v>
      </c>
      <c r="F132" s="41" t="s">
        <v>574</v>
      </c>
      <c r="G132" s="1">
        <f t="shared" si="0"/>
        <v>8888</v>
      </c>
      <c r="H132" s="1"/>
      <c r="I132" s="1"/>
      <c r="J132" s="1"/>
      <c r="K132" s="1"/>
    </row>
    <row r="133" spans="1:11" ht="28.5" customHeight="1">
      <c r="A133" s="18">
        <v>150</v>
      </c>
      <c r="B133" s="35" t="s">
        <v>575</v>
      </c>
      <c r="C133" s="36" t="s">
        <v>322</v>
      </c>
      <c r="D133" s="18">
        <v>30000</v>
      </c>
      <c r="E133" s="36">
        <v>29725</v>
      </c>
      <c r="F133" s="41" t="s">
        <v>576</v>
      </c>
      <c r="G133" s="1">
        <f t="shared" si="0"/>
        <v>14863</v>
      </c>
      <c r="H133" s="1"/>
      <c r="I133" s="1"/>
      <c r="J133" s="1"/>
      <c r="K133" s="1"/>
    </row>
    <row r="134" spans="1:11" ht="28.5" customHeight="1">
      <c r="A134" s="18">
        <v>151</v>
      </c>
      <c r="B134" s="35" t="s">
        <v>577</v>
      </c>
      <c r="C134" s="36" t="s">
        <v>271</v>
      </c>
      <c r="D134" s="18">
        <v>25000</v>
      </c>
      <c r="E134" s="36">
        <v>24725</v>
      </c>
      <c r="F134" s="41" t="s">
        <v>578</v>
      </c>
      <c r="G134" s="1">
        <f t="shared" si="0"/>
        <v>12363</v>
      </c>
      <c r="H134" s="1"/>
      <c r="I134" s="1"/>
      <c r="J134" s="1"/>
      <c r="K134" s="1"/>
    </row>
    <row r="135" spans="1:11" ht="28.5" customHeight="1">
      <c r="A135" s="18">
        <v>152</v>
      </c>
      <c r="B135" s="35" t="s">
        <v>579</v>
      </c>
      <c r="C135" s="36" t="s">
        <v>580</v>
      </c>
      <c r="D135" s="18">
        <v>30780</v>
      </c>
      <c r="E135" s="36">
        <v>30780</v>
      </c>
      <c r="F135" s="38" t="s">
        <v>581</v>
      </c>
      <c r="G135" s="1">
        <f t="shared" si="0"/>
        <v>15390</v>
      </c>
      <c r="H135" s="1"/>
      <c r="I135" s="1"/>
      <c r="J135" s="1"/>
      <c r="K135" s="1"/>
    </row>
    <row r="136" spans="1:11" ht="28.5" customHeight="1">
      <c r="A136" s="15"/>
      <c r="B136" s="16" t="s">
        <v>9</v>
      </c>
      <c r="C136" s="17"/>
      <c r="D136" s="17">
        <f t="shared" ref="D136:E136" si="1">SUM(D5:D135)</f>
        <v>5417060</v>
      </c>
      <c r="E136" s="17">
        <f t="shared" si="1"/>
        <v>5178042</v>
      </c>
      <c r="F136" s="17"/>
      <c r="G136" s="5">
        <f>SUM(G6:G135)</f>
        <v>2589073</v>
      </c>
      <c r="H136" s="5"/>
      <c r="I136" s="5"/>
      <c r="J136" s="5"/>
      <c r="K136" s="5"/>
    </row>
    <row r="137" spans="1:11" ht="28.5" customHeight="1">
      <c r="A137" s="18"/>
      <c r="B137" s="19"/>
      <c r="C137" s="19"/>
      <c r="D137" s="20"/>
      <c r="E137" s="18"/>
      <c r="F137" s="21"/>
      <c r="G137" s="1"/>
      <c r="H137" s="1"/>
      <c r="I137" s="1"/>
      <c r="J137" s="1"/>
      <c r="K137" s="1"/>
    </row>
    <row r="138" spans="1:11" ht="28.5" customHeight="1">
      <c r="A138" s="18"/>
      <c r="B138" s="34"/>
      <c r="C138" s="34"/>
      <c r="D138" s="15"/>
      <c r="E138" s="34"/>
      <c r="F138" s="34"/>
      <c r="G138" s="1"/>
      <c r="H138" s="1"/>
      <c r="I138" s="1"/>
      <c r="J138" s="1"/>
      <c r="K138" s="1"/>
    </row>
    <row r="139" spans="1:11" ht="28.5" customHeight="1">
      <c r="A139" s="18"/>
      <c r="B139" s="16"/>
      <c r="C139" s="17"/>
      <c r="D139" s="15"/>
      <c r="E139" s="18"/>
      <c r="F139" s="21"/>
      <c r="G139" s="1"/>
      <c r="H139" s="1"/>
      <c r="I139" s="1"/>
      <c r="J139" s="1"/>
      <c r="K139" s="1"/>
    </row>
    <row r="140" spans="1:11" ht="28.5" customHeight="1">
      <c r="A140" s="18"/>
      <c r="B140" s="16"/>
      <c r="C140" s="17"/>
      <c r="D140" s="15"/>
      <c r="E140" s="18"/>
      <c r="F140" s="21"/>
      <c r="G140" s="1"/>
      <c r="H140" s="1"/>
      <c r="I140" s="1"/>
      <c r="J140" s="1"/>
      <c r="K140" s="1"/>
    </row>
    <row r="141" spans="1:11" ht="28.5" hidden="1" customHeight="1">
      <c r="A141" s="189" t="s">
        <v>0</v>
      </c>
      <c r="B141" s="188"/>
      <c r="C141" s="188"/>
      <c r="D141" s="188"/>
      <c r="E141" s="188"/>
      <c r="F141" s="188"/>
      <c r="G141" s="1"/>
      <c r="H141" s="1"/>
      <c r="I141" s="1"/>
      <c r="J141" s="1"/>
      <c r="K141" s="1"/>
    </row>
    <row r="142" spans="1:11" ht="28.5" hidden="1" customHeight="1">
      <c r="A142" s="189" t="s">
        <v>582</v>
      </c>
      <c r="B142" s="188"/>
      <c r="C142" s="188"/>
      <c r="D142" s="188"/>
      <c r="E142" s="188"/>
      <c r="F142" s="188"/>
      <c r="G142" s="1"/>
      <c r="H142" s="1"/>
      <c r="I142" s="1"/>
      <c r="J142" s="1"/>
      <c r="K142" s="1"/>
    </row>
    <row r="143" spans="1:11" ht="41.25" hidden="1" customHeight="1">
      <c r="A143" s="17" t="s">
        <v>261</v>
      </c>
      <c r="B143" s="16" t="s">
        <v>3</v>
      </c>
      <c r="C143" s="17" t="s">
        <v>4</v>
      </c>
      <c r="D143" s="17" t="s">
        <v>5</v>
      </c>
      <c r="E143" s="17" t="s">
        <v>27</v>
      </c>
      <c r="F143" s="4" t="s">
        <v>28</v>
      </c>
      <c r="G143" s="1"/>
      <c r="H143" s="1"/>
      <c r="I143" s="1"/>
      <c r="J143" s="1"/>
      <c r="K143" s="1"/>
    </row>
    <row r="144" spans="1:11" ht="28.5" customHeight="1">
      <c r="A144" s="26"/>
      <c r="B144" s="27"/>
      <c r="C144" s="28"/>
      <c r="D144" s="26"/>
      <c r="E144" s="26"/>
      <c r="F144" s="29"/>
      <c r="G144" s="1"/>
      <c r="H144" s="1"/>
      <c r="I144" s="1"/>
      <c r="J144" s="1"/>
      <c r="K144" s="1"/>
    </row>
  </sheetData>
  <autoFilter ref="A1:F136" xr:uid="{00000000-0009-0000-0000-000002000000}"/>
  <mergeCells count="4">
    <mergeCell ref="A1:F1"/>
    <mergeCell ref="A2:F2"/>
    <mergeCell ref="A141:F141"/>
    <mergeCell ref="A142:F14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87" t="s">
        <v>0</v>
      </c>
      <c r="B1" s="188"/>
      <c r="C1" s="188"/>
      <c r="D1" s="188"/>
      <c r="E1" s="188"/>
      <c r="F1" s="188"/>
      <c r="G1" s="1"/>
      <c r="H1" s="1"/>
      <c r="I1" s="1"/>
      <c r="J1" s="1"/>
      <c r="K1" s="1"/>
    </row>
    <row r="2" spans="1:11" ht="22.5" customHeight="1">
      <c r="A2" s="187" t="s">
        <v>260</v>
      </c>
      <c r="B2" s="188"/>
      <c r="C2" s="188"/>
      <c r="D2" s="188"/>
      <c r="E2" s="188"/>
      <c r="F2" s="188"/>
      <c r="G2" s="1"/>
      <c r="H2" s="1"/>
      <c r="I2" s="1"/>
      <c r="J2" s="1"/>
      <c r="K2" s="1"/>
    </row>
    <row r="3" spans="1:11" ht="28.5" customHeight="1">
      <c r="A3" s="2" t="s">
        <v>261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262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22">
        <v>9</v>
      </c>
      <c r="B5" s="23" t="s">
        <v>281</v>
      </c>
      <c r="C5" s="24" t="s">
        <v>271</v>
      </c>
      <c r="D5" s="24">
        <v>40000</v>
      </c>
      <c r="E5" s="24">
        <v>39725</v>
      </c>
      <c r="F5" s="39" t="s">
        <v>282</v>
      </c>
      <c r="G5" s="25">
        <f>ROUND(E5/2,0)</f>
        <v>19863</v>
      </c>
      <c r="H5" s="25"/>
      <c r="I5" s="25"/>
      <c r="J5" s="25"/>
      <c r="K5" s="25"/>
    </row>
    <row r="6" spans="1:11" ht="28.5" customHeight="1">
      <c r="A6" s="1"/>
      <c r="B6" s="30"/>
      <c r="C6" s="31"/>
      <c r="D6" s="1"/>
      <c r="E6" s="1"/>
      <c r="F6" s="21"/>
      <c r="G6" s="1"/>
      <c r="H6" s="1"/>
      <c r="I6" s="1"/>
      <c r="J6" s="1"/>
      <c r="K6" s="1"/>
    </row>
    <row r="7" spans="1:11" ht="28.5" customHeight="1">
      <c r="A7" s="22">
        <v>23</v>
      </c>
      <c r="B7" s="32" t="s">
        <v>309</v>
      </c>
      <c r="C7" s="24" t="s">
        <v>271</v>
      </c>
      <c r="D7" s="22">
        <v>18000</v>
      </c>
      <c r="E7" s="24">
        <v>17775</v>
      </c>
      <c r="F7" s="43" t="s">
        <v>310</v>
      </c>
      <c r="G7" s="25">
        <f t="shared" ref="G7:G15" si="0">ROUND(E7/2,0)</f>
        <v>8888</v>
      </c>
      <c r="H7" s="25"/>
      <c r="I7" s="25"/>
      <c r="J7" s="25"/>
      <c r="K7" s="25"/>
    </row>
    <row r="8" spans="1:11" ht="28.5" customHeight="1">
      <c r="A8" s="22">
        <v>47</v>
      </c>
      <c r="B8" s="33" t="s">
        <v>362</v>
      </c>
      <c r="C8" s="24" t="s">
        <v>266</v>
      </c>
      <c r="D8" s="22">
        <v>75000</v>
      </c>
      <c r="E8" s="24">
        <v>74725</v>
      </c>
      <c r="F8" s="22"/>
      <c r="G8" s="25">
        <f t="shared" si="0"/>
        <v>37363</v>
      </c>
      <c r="H8" s="25"/>
      <c r="I8" s="25"/>
      <c r="J8" s="25"/>
      <c r="K8" s="25"/>
    </row>
    <row r="9" spans="1:11" ht="28.5" customHeight="1">
      <c r="A9" s="22">
        <v>75</v>
      </c>
      <c r="B9" s="32" t="s">
        <v>416</v>
      </c>
      <c r="C9" s="24" t="s">
        <v>271</v>
      </c>
      <c r="D9" s="22">
        <v>24000</v>
      </c>
      <c r="E9" s="24">
        <v>23725</v>
      </c>
      <c r="F9" s="43" t="s">
        <v>417</v>
      </c>
      <c r="G9" s="25">
        <f t="shared" si="0"/>
        <v>11863</v>
      </c>
      <c r="H9" s="25"/>
      <c r="I9" s="25"/>
      <c r="J9" s="25"/>
      <c r="K9" s="25"/>
    </row>
    <row r="10" spans="1:11" ht="28.5" customHeight="1">
      <c r="A10" s="22">
        <v>87</v>
      </c>
      <c r="B10" s="32" t="s">
        <v>441</v>
      </c>
      <c r="C10" s="24" t="s">
        <v>327</v>
      </c>
      <c r="D10" s="22">
        <v>50000</v>
      </c>
      <c r="E10" s="24">
        <v>49725</v>
      </c>
      <c r="F10" s="43" t="s">
        <v>442</v>
      </c>
      <c r="G10" s="25">
        <f t="shared" si="0"/>
        <v>24863</v>
      </c>
      <c r="H10" s="25"/>
      <c r="I10" s="25"/>
      <c r="J10" s="25"/>
      <c r="K10" s="25"/>
    </row>
    <row r="11" spans="1:11" ht="28.5" customHeight="1">
      <c r="A11" s="22">
        <v>98</v>
      </c>
      <c r="B11" s="32" t="s">
        <v>464</v>
      </c>
      <c r="C11" s="24" t="s">
        <v>271</v>
      </c>
      <c r="D11" s="22">
        <v>23000</v>
      </c>
      <c r="E11" s="24">
        <v>22770</v>
      </c>
      <c r="F11" s="43" t="s">
        <v>465</v>
      </c>
      <c r="G11" s="25">
        <f t="shared" si="0"/>
        <v>11385</v>
      </c>
      <c r="H11" s="25"/>
      <c r="I11" s="25"/>
      <c r="J11" s="25"/>
      <c r="K11" s="25"/>
    </row>
    <row r="12" spans="1:11" ht="28.5" customHeight="1">
      <c r="A12" s="22">
        <v>99</v>
      </c>
      <c r="B12" s="32" t="s">
        <v>466</v>
      </c>
      <c r="C12" s="24" t="s">
        <v>271</v>
      </c>
      <c r="D12" s="22">
        <v>37000</v>
      </c>
      <c r="E12" s="24">
        <v>36725</v>
      </c>
      <c r="F12" s="43" t="s">
        <v>467</v>
      </c>
      <c r="G12" s="25">
        <f t="shared" si="0"/>
        <v>18363</v>
      </c>
      <c r="H12" s="25"/>
      <c r="I12" s="25"/>
      <c r="J12" s="25"/>
      <c r="K12" s="25"/>
    </row>
    <row r="13" spans="1:11" ht="28.5" customHeight="1">
      <c r="A13" s="22">
        <v>142</v>
      </c>
      <c r="B13" s="32" t="s">
        <v>559</v>
      </c>
      <c r="C13" s="24" t="s">
        <v>271</v>
      </c>
      <c r="D13" s="24">
        <v>18000</v>
      </c>
      <c r="E13" s="24">
        <v>17775</v>
      </c>
      <c r="F13" s="43" t="s">
        <v>560</v>
      </c>
      <c r="G13" s="25">
        <f t="shared" si="0"/>
        <v>8888</v>
      </c>
      <c r="H13" s="25"/>
      <c r="I13" s="25"/>
      <c r="J13" s="25"/>
      <c r="K13" s="25"/>
    </row>
    <row r="14" spans="1:11" ht="28.5" customHeight="1">
      <c r="A14" s="22">
        <v>144</v>
      </c>
      <c r="B14" s="32" t="s">
        <v>563</v>
      </c>
      <c r="C14" s="24" t="s">
        <v>271</v>
      </c>
      <c r="D14" s="24">
        <v>20000</v>
      </c>
      <c r="E14" s="24">
        <v>19775</v>
      </c>
      <c r="F14" s="43" t="s">
        <v>564</v>
      </c>
      <c r="G14" s="25">
        <f t="shared" si="0"/>
        <v>9888</v>
      </c>
      <c r="H14" s="25"/>
      <c r="I14" s="25"/>
      <c r="J14" s="25"/>
      <c r="K14" s="25"/>
    </row>
    <row r="15" spans="1:11" ht="28.5" customHeight="1">
      <c r="A15" s="22">
        <v>145</v>
      </c>
      <c r="B15" s="32" t="s">
        <v>565</v>
      </c>
      <c r="C15" s="24" t="s">
        <v>271</v>
      </c>
      <c r="D15" s="24">
        <v>25000</v>
      </c>
      <c r="E15" s="24">
        <v>24725</v>
      </c>
      <c r="F15" s="43" t="s">
        <v>566</v>
      </c>
      <c r="G15" s="25">
        <f t="shared" si="0"/>
        <v>12363</v>
      </c>
      <c r="H15" s="25"/>
      <c r="I15" s="25"/>
      <c r="J15" s="25"/>
      <c r="K15" s="25"/>
    </row>
    <row r="16" spans="1:11" ht="28.5" customHeight="1">
      <c r="A16" s="15"/>
      <c r="B16" s="16" t="s">
        <v>9</v>
      </c>
      <c r="C16" s="17"/>
      <c r="D16" s="17">
        <f t="shared" ref="D16:E16" si="1">SUM(D5:D15)</f>
        <v>330000</v>
      </c>
      <c r="E16" s="17">
        <f t="shared" si="1"/>
        <v>327445</v>
      </c>
      <c r="F16" s="17"/>
      <c r="G16" s="5">
        <f>SUM(G5:G15)</f>
        <v>163727</v>
      </c>
      <c r="H16" s="5"/>
      <c r="I16" s="5"/>
      <c r="J16" s="5"/>
      <c r="K16" s="5"/>
    </row>
    <row r="17" spans="1:11" ht="28.5" customHeight="1">
      <c r="A17" s="18"/>
      <c r="B17" s="19"/>
      <c r="C17" s="19"/>
      <c r="D17" s="20"/>
      <c r="E17" s="18"/>
      <c r="F17" s="21"/>
      <c r="G17" s="1"/>
      <c r="H17" s="1"/>
      <c r="I17" s="1"/>
      <c r="J17" s="1"/>
      <c r="K17" s="1"/>
    </row>
    <row r="18" spans="1:11" ht="28.5" customHeight="1">
      <c r="A18" s="18"/>
      <c r="B18" s="34"/>
      <c r="C18" s="34"/>
      <c r="D18" s="15"/>
      <c r="E18" s="34"/>
      <c r="F18" s="34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customHeight="1">
      <c r="A20" s="18"/>
      <c r="B20" s="16"/>
      <c r="C20" s="17"/>
      <c r="D20" s="15"/>
      <c r="E20" s="18"/>
      <c r="F20" s="21"/>
      <c r="G20" s="1"/>
      <c r="H20" s="1"/>
      <c r="I20" s="1"/>
      <c r="J20" s="1">
        <f>+G16+'Teaching (5)'!G136</f>
        <v>2752800</v>
      </c>
      <c r="K20" s="1"/>
    </row>
    <row r="21" spans="1:11" ht="28.5" hidden="1" customHeight="1">
      <c r="A21" s="189" t="s">
        <v>0</v>
      </c>
      <c r="B21" s="188"/>
      <c r="C21" s="188"/>
      <c r="D21" s="188"/>
      <c r="E21" s="188"/>
      <c r="F21" s="188"/>
      <c r="G21" s="1"/>
      <c r="H21" s="1"/>
      <c r="I21" s="1"/>
      <c r="J21" s="1"/>
      <c r="K21" s="1"/>
    </row>
    <row r="22" spans="1:11" ht="28.5" hidden="1" customHeight="1">
      <c r="A22" s="189" t="s">
        <v>582</v>
      </c>
      <c r="B22" s="188"/>
      <c r="C22" s="188"/>
      <c r="D22" s="188"/>
      <c r="E22" s="188"/>
      <c r="F22" s="188"/>
      <c r="G22" s="1"/>
      <c r="H22" s="1"/>
      <c r="I22" s="1"/>
      <c r="J22" s="1"/>
      <c r="K22" s="1"/>
    </row>
    <row r="23" spans="1:11" ht="41.25" hidden="1" customHeight="1">
      <c r="A23" s="17" t="s">
        <v>261</v>
      </c>
      <c r="B23" s="16" t="s">
        <v>3</v>
      </c>
      <c r="C23" s="17" t="s">
        <v>4</v>
      </c>
      <c r="D23" s="17" t="s">
        <v>5</v>
      </c>
      <c r="E23" s="17" t="s">
        <v>27</v>
      </c>
      <c r="F23" s="4" t="s">
        <v>28</v>
      </c>
      <c r="G23" s="1"/>
      <c r="H23" s="1"/>
      <c r="I23" s="1"/>
      <c r="J23" s="1"/>
      <c r="K23" s="1"/>
    </row>
    <row r="24" spans="1:11" ht="28.5" customHeight="1">
      <c r="A24" s="26"/>
      <c r="B24" s="27"/>
      <c r="C24" s="28"/>
      <c r="D24" s="26"/>
      <c r="E24" s="26"/>
      <c r="F24" s="29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6" xr:uid="{00000000-0009-0000-0000-000003000000}"/>
  <mergeCells count="4">
    <mergeCell ref="A1:F1"/>
    <mergeCell ref="A2:F2"/>
    <mergeCell ref="A21:F21"/>
    <mergeCell ref="A22:F2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87" t="s">
        <v>0</v>
      </c>
      <c r="B1" s="188"/>
      <c r="C1" s="188"/>
      <c r="D1" s="188"/>
      <c r="E1" s="188"/>
      <c r="F1" s="188"/>
      <c r="G1" s="1"/>
      <c r="H1" s="1"/>
      <c r="I1" s="1"/>
      <c r="J1" s="1"/>
      <c r="K1" s="1"/>
    </row>
    <row r="2" spans="1:11" ht="22.5" customHeight="1">
      <c r="A2" s="187" t="s">
        <v>260</v>
      </c>
      <c r="B2" s="188"/>
      <c r="C2" s="188"/>
      <c r="D2" s="188"/>
      <c r="E2" s="188"/>
      <c r="F2" s="188"/>
      <c r="G2" s="1"/>
      <c r="H2" s="1"/>
      <c r="I2" s="1"/>
      <c r="J2" s="1"/>
      <c r="K2" s="1"/>
    </row>
    <row r="3" spans="1:11" ht="28.5" customHeight="1">
      <c r="A3" s="2" t="s">
        <v>261</v>
      </c>
      <c r="B3" s="3" t="s">
        <v>3</v>
      </c>
      <c r="C3" s="2" t="s">
        <v>4</v>
      </c>
      <c r="D3" s="2" t="s">
        <v>5</v>
      </c>
      <c r="E3" s="2" t="s">
        <v>27</v>
      </c>
      <c r="F3" s="4" t="s">
        <v>28</v>
      </c>
      <c r="G3" s="1"/>
      <c r="H3" s="1"/>
      <c r="I3" s="1"/>
      <c r="J3" s="1"/>
      <c r="K3" s="1"/>
    </row>
    <row r="4" spans="1:11" ht="21.75" customHeight="1">
      <c r="A4" s="5"/>
      <c r="B4" s="3" t="s">
        <v>262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6">
        <v>17</v>
      </c>
      <c r="B5" s="7" t="s">
        <v>297</v>
      </c>
      <c r="C5" s="8" t="s">
        <v>266</v>
      </c>
      <c r="D5" s="6">
        <v>44332</v>
      </c>
      <c r="E5" s="8">
        <v>44057</v>
      </c>
      <c r="F5" s="42" t="s">
        <v>298</v>
      </c>
      <c r="G5" s="9">
        <f t="shared" ref="G5:G14" si="0">ROUND(E5/2,0)</f>
        <v>22029</v>
      </c>
      <c r="H5" s="9"/>
      <c r="I5" s="9"/>
      <c r="J5" s="9"/>
      <c r="K5" s="9"/>
    </row>
    <row r="6" spans="1:11" ht="28.5" customHeight="1">
      <c r="A6" s="6">
        <v>44</v>
      </c>
      <c r="B6" s="10" t="s">
        <v>356</v>
      </c>
      <c r="C6" s="8" t="s">
        <v>266</v>
      </c>
      <c r="D6" s="6">
        <v>70000</v>
      </c>
      <c r="E6" s="8">
        <v>69725</v>
      </c>
      <c r="F6" s="42" t="s">
        <v>357</v>
      </c>
      <c r="G6" s="9">
        <f t="shared" si="0"/>
        <v>34863</v>
      </c>
      <c r="H6" s="9"/>
      <c r="I6" s="9"/>
      <c r="J6" s="9"/>
      <c r="K6" s="9"/>
    </row>
    <row r="7" spans="1:11" ht="28.5" customHeight="1">
      <c r="A7" s="6">
        <v>51</v>
      </c>
      <c r="B7" s="7" t="s">
        <v>369</v>
      </c>
      <c r="C7" s="8" t="s">
        <v>266</v>
      </c>
      <c r="D7" s="6">
        <v>38000</v>
      </c>
      <c r="E7" s="8">
        <v>37725</v>
      </c>
      <c r="F7" s="42" t="s">
        <v>370</v>
      </c>
      <c r="G7" s="9">
        <f t="shared" si="0"/>
        <v>18863</v>
      </c>
      <c r="H7" s="9"/>
      <c r="I7" s="9"/>
      <c r="J7" s="9"/>
      <c r="K7" s="9"/>
    </row>
    <row r="8" spans="1:11" ht="28.5" customHeight="1">
      <c r="A8" s="6">
        <v>57</v>
      </c>
      <c r="B8" s="7" t="s">
        <v>382</v>
      </c>
      <c r="C8" s="8" t="s">
        <v>271</v>
      </c>
      <c r="D8" s="6">
        <v>59890</v>
      </c>
      <c r="E8" s="8">
        <v>59615</v>
      </c>
      <c r="F8" s="42" t="s">
        <v>383</v>
      </c>
      <c r="G8" s="9">
        <f t="shared" si="0"/>
        <v>29808</v>
      </c>
      <c r="H8" s="9"/>
      <c r="I8" s="9"/>
      <c r="J8" s="9"/>
      <c r="K8" s="9"/>
    </row>
    <row r="9" spans="1:11" ht="28.5" customHeight="1">
      <c r="A9" s="6">
        <v>71</v>
      </c>
      <c r="B9" s="7" t="s">
        <v>409</v>
      </c>
      <c r="C9" s="8" t="s">
        <v>266</v>
      </c>
      <c r="D9" s="6">
        <v>90000</v>
      </c>
      <c r="E9" s="8">
        <v>89725</v>
      </c>
      <c r="F9" s="6"/>
      <c r="G9" s="9">
        <f t="shared" si="0"/>
        <v>44863</v>
      </c>
      <c r="H9" s="9"/>
      <c r="I9" s="9"/>
      <c r="J9" s="9"/>
      <c r="K9" s="9"/>
    </row>
    <row r="10" spans="1:11" ht="28.5" customHeight="1">
      <c r="A10" s="11">
        <v>78</v>
      </c>
      <c r="B10" s="12" t="s">
        <v>422</v>
      </c>
      <c r="C10" s="13" t="s">
        <v>271</v>
      </c>
      <c r="D10" s="11">
        <v>35000</v>
      </c>
      <c r="E10" s="13">
        <v>34725</v>
      </c>
      <c r="F10" s="44" t="s">
        <v>423</v>
      </c>
      <c r="G10" s="14">
        <f t="shared" si="0"/>
        <v>17363</v>
      </c>
      <c r="H10" s="14"/>
      <c r="I10" s="14"/>
      <c r="J10" s="14"/>
      <c r="K10" s="14"/>
    </row>
    <row r="11" spans="1:11" ht="28.5" customHeight="1">
      <c r="A11" s="6">
        <v>86</v>
      </c>
      <c r="B11" s="7" t="s">
        <v>439</v>
      </c>
      <c r="C11" s="8" t="s">
        <v>271</v>
      </c>
      <c r="D11" s="6">
        <v>65000</v>
      </c>
      <c r="E11" s="8">
        <v>64725</v>
      </c>
      <c r="F11" s="42" t="s">
        <v>440</v>
      </c>
      <c r="G11" s="9">
        <f t="shared" si="0"/>
        <v>32363</v>
      </c>
      <c r="H11" s="9"/>
      <c r="I11" s="9"/>
      <c r="J11" s="9"/>
      <c r="K11" s="9"/>
    </row>
    <row r="12" spans="1:11" ht="28.5" customHeight="1">
      <c r="A12" s="11">
        <v>92</v>
      </c>
      <c r="B12" s="12" t="s">
        <v>451</v>
      </c>
      <c r="C12" s="13" t="s">
        <v>374</v>
      </c>
      <c r="D12" s="11">
        <v>36000</v>
      </c>
      <c r="E12" s="13">
        <v>35725</v>
      </c>
      <c r="F12" s="44" t="s">
        <v>452</v>
      </c>
      <c r="G12" s="14">
        <f t="shared" si="0"/>
        <v>17863</v>
      </c>
      <c r="H12" s="14"/>
      <c r="I12" s="14"/>
      <c r="J12" s="14"/>
      <c r="K12" s="14"/>
    </row>
    <row r="13" spans="1:11" ht="28.5" customHeight="1">
      <c r="A13" s="11">
        <v>93</v>
      </c>
      <c r="B13" s="12" t="s">
        <v>453</v>
      </c>
      <c r="C13" s="13" t="s">
        <v>374</v>
      </c>
      <c r="D13" s="11">
        <v>35000</v>
      </c>
      <c r="E13" s="13">
        <v>34725</v>
      </c>
      <c r="F13" s="44" t="s">
        <v>454</v>
      </c>
      <c r="G13" s="14">
        <f t="shared" si="0"/>
        <v>17363</v>
      </c>
      <c r="H13" s="14"/>
      <c r="I13" s="14"/>
      <c r="J13" s="14"/>
      <c r="K13" s="14"/>
    </row>
    <row r="14" spans="1:11" ht="28.5" customHeight="1">
      <c r="A14" s="11">
        <v>121</v>
      </c>
      <c r="B14" s="12" t="s">
        <v>515</v>
      </c>
      <c r="C14" s="13" t="s">
        <v>516</v>
      </c>
      <c r="D14" s="11">
        <v>15000</v>
      </c>
      <c r="E14" s="11">
        <v>15000</v>
      </c>
      <c r="F14" s="44" t="s">
        <v>517</v>
      </c>
      <c r="G14" s="14">
        <f t="shared" si="0"/>
        <v>7500</v>
      </c>
      <c r="H14" s="14"/>
      <c r="I14" s="14"/>
      <c r="J14" s="14"/>
      <c r="K14" s="14"/>
    </row>
    <row r="15" spans="1:11" ht="28.5" customHeight="1">
      <c r="A15" s="15"/>
      <c r="B15" s="16" t="s">
        <v>9</v>
      </c>
      <c r="C15" s="17"/>
      <c r="D15" s="17">
        <f t="shared" ref="D15:E15" si="1">SUM(D5:D14)</f>
        <v>488222</v>
      </c>
      <c r="E15" s="17">
        <f t="shared" si="1"/>
        <v>485747</v>
      </c>
      <c r="F15" s="17"/>
      <c r="G15" s="5">
        <f>SUM(G5:G14)</f>
        <v>242878</v>
      </c>
      <c r="H15" s="5"/>
      <c r="I15" s="5"/>
      <c r="J15" s="5"/>
      <c r="K15" s="5"/>
    </row>
    <row r="16" spans="1:11" ht="28.5" customHeight="1">
      <c r="A16" s="18"/>
      <c r="B16" s="19"/>
      <c r="C16" s="19"/>
      <c r="D16" s="20"/>
      <c r="E16" s="18"/>
      <c r="F16" s="21"/>
      <c r="G16" s="1"/>
      <c r="H16" s="1"/>
      <c r="I16" s="1"/>
      <c r="J16" s="1"/>
      <c r="K16" s="1"/>
    </row>
    <row r="17" spans="1:11" ht="28.5" customHeight="1">
      <c r="A17" s="22">
        <v>10</v>
      </c>
      <c r="B17" s="23" t="s">
        <v>283</v>
      </c>
      <c r="C17" s="24" t="s">
        <v>271</v>
      </c>
      <c r="D17" s="24">
        <v>23000</v>
      </c>
      <c r="E17" s="24">
        <v>22725</v>
      </c>
      <c r="F17" s="39" t="s">
        <v>284</v>
      </c>
      <c r="G17" s="25">
        <f>ROUND(E17/2,0)</f>
        <v>11363</v>
      </c>
      <c r="H17" s="25"/>
      <c r="I17" s="25"/>
      <c r="J17" s="25"/>
      <c r="K17" s="25"/>
    </row>
    <row r="18" spans="1:11" ht="28.5" customHeight="1">
      <c r="A18" s="18"/>
      <c r="B18" s="16"/>
      <c r="C18" s="17"/>
      <c r="D18" s="15"/>
      <c r="E18" s="18"/>
      <c r="F18" s="21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hidden="1" customHeight="1">
      <c r="A20" s="189" t="s">
        <v>0</v>
      </c>
      <c r="B20" s="188"/>
      <c r="C20" s="188"/>
      <c r="D20" s="188"/>
      <c r="E20" s="188"/>
      <c r="F20" s="188"/>
      <c r="G20" s="1"/>
      <c r="H20" s="1"/>
      <c r="I20" s="1"/>
      <c r="J20" s="1"/>
      <c r="K20" s="1"/>
    </row>
    <row r="21" spans="1:11" ht="28.5" hidden="1" customHeight="1">
      <c r="A21" s="189" t="s">
        <v>582</v>
      </c>
      <c r="B21" s="188"/>
      <c r="C21" s="188"/>
      <c r="D21" s="188"/>
      <c r="E21" s="188"/>
      <c r="F21" s="188"/>
      <c r="G21" s="1"/>
      <c r="H21" s="1"/>
      <c r="I21" s="1"/>
      <c r="J21" s="1"/>
      <c r="K21" s="1"/>
    </row>
    <row r="22" spans="1:11" ht="41.25" hidden="1" customHeight="1">
      <c r="A22" s="17" t="s">
        <v>261</v>
      </c>
      <c r="B22" s="16" t="s">
        <v>3</v>
      </c>
      <c r="C22" s="17" t="s">
        <v>4</v>
      </c>
      <c r="D22" s="17" t="s">
        <v>5</v>
      </c>
      <c r="E22" s="17" t="s">
        <v>27</v>
      </c>
      <c r="F22" s="4" t="s">
        <v>28</v>
      </c>
      <c r="G22" s="1"/>
      <c r="H22" s="1"/>
      <c r="I22" s="1"/>
      <c r="J22" s="1"/>
      <c r="K22" s="1"/>
    </row>
    <row r="23" spans="1:11" ht="28.5" customHeight="1">
      <c r="A23" s="26"/>
      <c r="B23" s="27"/>
      <c r="C23" s="28"/>
      <c r="D23" s="26"/>
      <c r="E23" s="26"/>
      <c r="F23" s="29"/>
      <c r="G23" s="1"/>
      <c r="H23" s="1"/>
      <c r="I23" s="1"/>
      <c r="J23" s="1"/>
      <c r="K23" s="1"/>
    </row>
    <row r="24" spans="1:11" ht="28.5" customHeight="1">
      <c r="A24" s="1"/>
      <c r="B24" s="30"/>
      <c r="C24" s="31"/>
      <c r="D24" s="1"/>
      <c r="E24" s="1"/>
      <c r="F24" s="21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5" xr:uid="{00000000-0009-0000-0000-000004000000}"/>
  <mergeCells count="4">
    <mergeCell ref="A1:F1"/>
    <mergeCell ref="A2:F2"/>
    <mergeCell ref="A20:F20"/>
    <mergeCell ref="A21:F21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Non Teaching</vt:lpstr>
      <vt:lpstr>Teaching (2)</vt:lpstr>
      <vt:lpstr>Teaching (5)</vt:lpstr>
      <vt:lpstr>Teaching (3)</vt:lpstr>
      <vt:lpstr>Teaching (4)</vt:lpstr>
      <vt:lpstr>'Non Teaching'!Print_Titles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123</cp:lastModifiedBy>
  <cp:lastPrinted>2026-06-15T09:59:19Z</cp:lastPrinted>
  <dcterms:created xsi:type="dcterms:W3CDTF">2006-09-16T00:00:00Z</dcterms:created>
  <dcterms:modified xsi:type="dcterms:W3CDTF">2026-07-27T10:20:16Z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9ADD0254ACC34E369B94102388CCBA01_12</vt:lpwstr>
  </property>
  <property fmtid="{D5CDD505-2E9C-101B-9397-08002B2CF9AE}" pid="3" name="KSOProductBuildVer">
    <vt:lpwstr>2057-12.2.0.23158</vt:lpwstr>
  </property>
</Properties>
</file>