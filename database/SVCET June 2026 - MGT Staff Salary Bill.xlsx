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F:\Salary Bill\2026\June 2026\Salary Bill\"/>
    </mc:Choice>
  </mc:AlternateContent>
  <xr:revisionPtr revIDLastSave="0" documentId="13_ncr:1_{554AF56C-5F85-498E-8DB0-1BA2A6C57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ag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" i="1" l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E12" i="1"/>
  <c r="L12" i="1"/>
  <c r="K12" i="1"/>
  <c r="J12" i="1"/>
  <c r="H12" i="1"/>
  <c r="G12" i="1"/>
  <c r="F12" i="1"/>
  <c r="D12" i="1"/>
  <c r="P8" i="1"/>
  <c r="T8" i="1" s="1"/>
  <c r="P11" i="1"/>
  <c r="P10" i="1"/>
  <c r="Y7" i="1"/>
  <c r="P7" i="1"/>
  <c r="Y9" i="1"/>
  <c r="P9" i="1"/>
  <c r="P6" i="1"/>
  <c r="T6" i="1" s="1"/>
  <c r="P5" i="1"/>
  <c r="Z9" i="1" l="1"/>
  <c r="Z7" i="1"/>
  <c r="S5" i="1"/>
  <c r="S10" i="1"/>
  <c r="Y10" i="1" s="1"/>
  <c r="Z10" i="1" s="1"/>
  <c r="S11" i="1"/>
  <c r="T5" i="1"/>
  <c r="S6" i="1"/>
  <c r="T11" i="1"/>
  <c r="S8" i="1"/>
  <c r="Y8" i="1" s="1"/>
  <c r="Z8" i="1" s="1"/>
  <c r="Y6" i="1" l="1"/>
  <c r="Y11" i="1"/>
  <c r="Z11" i="1" s="1"/>
  <c r="Y5" i="1"/>
  <c r="Z6" i="1" l="1"/>
  <c r="Z5" i="1"/>
</calcChain>
</file>

<file path=xl/sharedStrings.xml><?xml version="1.0" encoding="utf-8"?>
<sst xmlns="http://schemas.openxmlformats.org/spreadsheetml/2006/main" count="67" uniqueCount="61">
  <si>
    <t>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</si>
  <si>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</si>
  <si>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</si>
  <si>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</si>
  <si>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</si>
  <si>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</si>
  <si>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</si>
  <si>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</si>
  <si>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</si>
  <si>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</si>
  <si>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</si>
  <si>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</si>
  <si>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</si>
  <si>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</si>
  <si>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</si>
  <si>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</si>
  <si>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</si>
  <si>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</si>
  <si>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</si>
  <si>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</si>
  <si>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</si>
  <si>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</si>
  <si>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</si>
  <si>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</si>
  <si>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</si>
  <si>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</si>
  <si>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</si>
  <si>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</si>
  <si>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S. Shajahan</t>
  </si>
  <si>
    <t>P.A to Chairman</t>
  </si>
  <si>
    <t>4017000402714253</t>
  </si>
  <si>
    <t>PUNB0401700</t>
  </si>
  <si>
    <t>M.P.Balaji</t>
  </si>
  <si>
    <t>Accts. Officer</t>
  </si>
  <si>
    <t>4017000402722252</t>
  </si>
  <si>
    <t>M. Sathish kumar</t>
  </si>
  <si>
    <t>Law Office</t>
  </si>
  <si>
    <t>5353350457</t>
  </si>
  <si>
    <t>CBIN0282206</t>
  </si>
  <si>
    <t>R Poorna Chandra</t>
  </si>
  <si>
    <t>Estate Manager</t>
  </si>
  <si>
    <t>4017000102778412</t>
  </si>
  <si>
    <t>K. Giri Babu</t>
  </si>
  <si>
    <t>EPF cons</t>
  </si>
  <si>
    <t>4017000102776140</t>
  </si>
  <si>
    <t xml:space="preserve">T Vinod Kumar </t>
  </si>
  <si>
    <t>System Admin</t>
  </si>
  <si>
    <t>110197204449</t>
  </si>
  <si>
    <t>CNRB0000852</t>
  </si>
  <si>
    <t xml:space="preserve">K Siddartha </t>
  </si>
  <si>
    <t>Supervisior</t>
  </si>
  <si>
    <t>6058363714</t>
  </si>
  <si>
    <t>IDIB000D030</t>
  </si>
  <si>
    <t>Prepared By</t>
  </si>
  <si>
    <t>Verified By</t>
  </si>
  <si>
    <t>Accounts Officer</t>
  </si>
  <si>
    <t>HR</t>
  </si>
  <si>
    <t>Principal</t>
  </si>
  <si>
    <t>Vice Chairman</t>
  </si>
  <si>
    <t>Sri Venkateswara College of Engineering and Technology</t>
  </si>
  <si>
    <t>Management Staff - Salary Bill for the Month of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</si>
</sst>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rgb="FF17365D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165" fontId="2" fillId="0" borderId="6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horizontal="center"/>
    </xf>
    <xf numFmtId="0" fontId="3" fillId="0" borderId="0" xfId="0" applyFont="1"/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5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65" fontId="6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/>
    <xf numFmtId="165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165" fontId="6" fillId="2" borderId="5" xfId="0" applyNumberFormat="1" applyFont="1" applyFill="1" applyBorder="1" applyAlignment="1">
      <alignment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/>
    <xf numFmtId="165" fontId="6" fillId="0" borderId="5" xfId="1" applyNumberFormat="1" applyFont="1" applyFill="1" applyBorder="1" applyAlignment="1">
      <alignment vertical="center" wrapText="1"/>
    </xf>
    <xf numFmtId="165" fontId="6" fillId="0" borderId="5" xfId="1" applyNumberFormat="1" applyFont="1" applyFill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/>
    </xf>
    <xf numFmtId="43" fontId="6" fillId="0" borderId="5" xfId="1" quotePrefix="1" applyFont="1" applyFill="1" applyBorder="1" applyAlignment="1">
      <alignment horizontal="center" vertical="center"/>
    </xf>
    <xf numFmtId="0" fontId="6" fillId="0" borderId="0" xfId="0" applyFont="1"/>
    <xf numFmtId="164" fontId="6" fillId="0" borderId="5" xfId="0" quotePrefix="1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8" fillId="0" borderId="5" xfId="1" applyNumberFormat="1" applyFont="1" applyFill="1" applyBorder="1" applyAlignment="1">
      <alignment vertical="center" wrapText="1"/>
    </xf>
    <xf numFmtId="165" fontId="8" fillId="0" borderId="5" xfId="1" applyNumberFormat="1" applyFont="1" applyFill="1" applyBorder="1" applyAlignment="1">
      <alignment horizontal="center" vertical="center" wrapText="1"/>
    </xf>
    <xf numFmtId="43" fontId="8" fillId="0" borderId="5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6" fontId="10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zoomScale="110" zoomScaleNormal="110" workbookViewId="0">
      <selection activeCell="AG14" sqref="AG14"/>
    </sheetView>
  </sheetViews>
  <sheetFormatPr defaultColWidth="9" defaultRowHeight="15"/>
  <cols>
    <col min="1" max="1" width="5.85546875" style="3" customWidth="1"/>
    <col min="2" max="2" width="17.42578125" style="3" customWidth="1"/>
    <col min="3" max="3" width="14.140625" style="3" customWidth="1"/>
    <col min="4" max="4" width="9" style="9" customWidth="1"/>
    <col min="5" max="5" width="11.140625" style="75" customWidth="1"/>
    <col min="6" max="6" width="5" style="3" hidden="1" customWidth="1"/>
    <col min="7" max="7" width="4.140625" style="3" hidden="1" customWidth="1"/>
    <col min="8" max="8" width="4.85546875" style="3" hidden="1" customWidth="1"/>
    <col min="9" max="9" width="6.140625" style="3" customWidth="1"/>
    <col min="10" max="10" width="5.85546875" style="3" hidden="1" customWidth="1"/>
    <col min="11" max="11" width="3.140625" style="3" hidden="1" customWidth="1"/>
    <col min="12" max="12" width="4.42578125" style="3" hidden="1" customWidth="1"/>
    <col min="13" max="13" width="8.42578125" style="3" customWidth="1"/>
    <col min="14" max="14" width="7.140625" style="3" hidden="1" customWidth="1"/>
    <col min="15" max="15" width="5.85546875" style="3" hidden="1" customWidth="1"/>
    <col min="16" max="16" width="8.85546875" style="3" customWidth="1"/>
    <col min="17" max="17" width="7.140625" style="3" customWidth="1"/>
    <col min="18" max="18" width="9" style="3" hidden="1" customWidth="1"/>
    <col min="19" max="20" width="4.85546875" style="3" customWidth="1"/>
    <col min="21" max="21" width="7.140625" style="3" hidden="1" customWidth="1"/>
    <col min="22" max="22" width="17.140625" style="3" hidden="1" customWidth="1"/>
    <col min="23" max="23" width="12.42578125" style="3" hidden="1" customWidth="1"/>
    <col min="24" max="24" width="10.140625" style="3" hidden="1" customWidth="1"/>
    <col min="25" max="26" width="8.85546875" style="3" customWidth="1"/>
    <col min="27" max="27" width="18.140625" style="3" customWidth="1"/>
    <col min="28" max="28" width="15" style="3" customWidth="1"/>
    <col min="29" max="16384" width="9" style="3"/>
  </cols>
  <sheetData>
    <row r="1" spans="1:28" s="13" customFormat="1" ht="17.25" customHeight="1">
      <c r="A1" s="76" t="s">
        <v>59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8"/>
    </row>
    <row r="2" spans="1:28" s="13" customFormat="1" ht="17.25" customHeight="1">
      <c r="A2" s="79" t="s">
        <v>60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1"/>
    </row>
    <row r="3" spans="1:28" s="13" customFormat="1" ht="12.7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>
        <v>30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/>
    </row>
    <row r="4" spans="1:28" s="20" customFormat="1" ht="37.5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8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17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18" t="s">
        <v>26</v>
      </c>
      <c r="AB4" s="19" t="s">
        <v>27</v>
      </c>
    </row>
    <row r="5" spans="1:28" s="13" customFormat="1" ht="26.25" customHeight="1">
      <c r="A5" s="21">
        <v>1</v>
      </c>
      <c r="B5" s="22" t="s">
        <v>28</v>
      </c>
      <c r="C5" s="23" t="s">
        <v>29</v>
      </c>
      <c r="D5" s="24">
        <v>24685</v>
      </c>
      <c r="E5" s="25">
        <v>24685</v>
      </c>
      <c r="F5" s="21"/>
      <c r="G5" s="23"/>
      <c r="H5" s="23"/>
      <c r="I5" s="26">
        <v>30</v>
      </c>
      <c r="J5" s="21"/>
      <c r="K5" s="21"/>
      <c r="L5" s="21"/>
      <c r="M5" s="21"/>
      <c r="N5" s="21"/>
      <c r="O5" s="21"/>
      <c r="P5" s="23">
        <f>ROUNDUP(E5/$M$3*I5+M5,0)</f>
        <v>24685</v>
      </c>
      <c r="Q5" s="23">
        <v>3600</v>
      </c>
      <c r="R5" s="23"/>
      <c r="S5" s="23">
        <f>IF(P5&gt;20001,200,IF(P5&gt;15001,150,IF(P5&lt;15000,0,)))</f>
        <v>200</v>
      </c>
      <c r="T5" s="23">
        <f>IF(P5,IF(1,30),IF(1,0))</f>
        <v>30</v>
      </c>
      <c r="U5" s="23">
        <v>0</v>
      </c>
      <c r="V5" s="23"/>
      <c r="W5" s="23"/>
      <c r="X5" s="23"/>
      <c r="Y5" s="23">
        <f t="shared" ref="Y5:Y11" si="0">SUM(Q5:X5)</f>
        <v>3830</v>
      </c>
      <c r="Z5" s="23">
        <f t="shared" ref="Z5:Z11" si="1">P5-Y5</f>
        <v>20855</v>
      </c>
      <c r="AA5" s="27" t="s">
        <v>30</v>
      </c>
      <c r="AB5" s="28" t="s">
        <v>31</v>
      </c>
    </row>
    <row r="6" spans="1:28" s="13" customFormat="1" ht="26.25" customHeight="1">
      <c r="A6" s="21">
        <v>2</v>
      </c>
      <c r="B6" s="22" t="s">
        <v>32</v>
      </c>
      <c r="C6" s="23" t="s">
        <v>33</v>
      </c>
      <c r="D6" s="24">
        <v>43700</v>
      </c>
      <c r="E6" s="29">
        <v>43700</v>
      </c>
      <c r="F6" s="21"/>
      <c r="G6" s="21"/>
      <c r="H6" s="21"/>
      <c r="I6" s="26">
        <v>30</v>
      </c>
      <c r="J6" s="21"/>
      <c r="K6" s="21"/>
      <c r="L6" s="21"/>
      <c r="M6" s="21"/>
      <c r="N6" s="21"/>
      <c r="O6" s="21"/>
      <c r="P6" s="23">
        <f t="shared" ref="P6:P11" si="2">ROUNDUP(E6/$M$3*I6+M6,0)</f>
        <v>43700</v>
      </c>
      <c r="Q6" s="23">
        <v>3600</v>
      </c>
      <c r="R6" s="23"/>
      <c r="S6" s="23">
        <f>IF(P6&gt;20001,200,IF(P6&gt;15001,150,IF(P6&lt;15000,0,)))</f>
        <v>200</v>
      </c>
      <c r="T6" s="23">
        <f>IF(P6,IF(1,30),IF(1,0))</f>
        <v>30</v>
      </c>
      <c r="U6" s="23"/>
      <c r="V6" s="23"/>
      <c r="W6" s="23"/>
      <c r="X6" s="23"/>
      <c r="Y6" s="23">
        <f t="shared" si="0"/>
        <v>3830</v>
      </c>
      <c r="Z6" s="23">
        <f t="shared" si="1"/>
        <v>39870</v>
      </c>
      <c r="AA6" s="27" t="s">
        <v>34</v>
      </c>
      <c r="AB6" s="28" t="s">
        <v>31</v>
      </c>
    </row>
    <row r="7" spans="1:28" ht="26.25" customHeight="1">
      <c r="A7" s="21">
        <v>3</v>
      </c>
      <c r="B7" s="30" t="s">
        <v>39</v>
      </c>
      <c r="C7" s="31" t="s">
        <v>40</v>
      </c>
      <c r="D7" s="24">
        <v>35000</v>
      </c>
      <c r="E7" s="25">
        <v>35000</v>
      </c>
      <c r="F7" s="32"/>
      <c r="G7" s="32"/>
      <c r="H7" s="32"/>
      <c r="I7" s="26">
        <v>30</v>
      </c>
      <c r="J7" s="33"/>
      <c r="K7" s="33"/>
      <c r="L7" s="33"/>
      <c r="M7" s="34"/>
      <c r="N7" s="35"/>
      <c r="O7" s="34"/>
      <c r="P7" s="23">
        <f>ROUNDUP(E7/$M$3*I7+M7,0)</f>
        <v>35000</v>
      </c>
      <c r="Q7" s="23">
        <v>3600</v>
      </c>
      <c r="R7" s="34"/>
      <c r="S7" s="34"/>
      <c r="T7" s="23">
        <v>30</v>
      </c>
      <c r="U7" s="35"/>
      <c r="V7" s="35"/>
      <c r="W7" s="35"/>
      <c r="X7" s="35"/>
      <c r="Y7" s="36">
        <f>SUM(Q7:X7)</f>
        <v>3630</v>
      </c>
      <c r="Z7" s="36">
        <f>P7-Y7</f>
        <v>31370</v>
      </c>
      <c r="AA7" s="27" t="s">
        <v>41</v>
      </c>
      <c r="AB7" s="37" t="s">
        <v>31</v>
      </c>
    </row>
    <row r="8" spans="1:28" s="13" customFormat="1" ht="26.25" customHeight="1">
      <c r="A8" s="21">
        <v>4</v>
      </c>
      <c r="B8" s="22" t="s">
        <v>49</v>
      </c>
      <c r="C8" s="23" t="s">
        <v>50</v>
      </c>
      <c r="D8" s="24">
        <v>16000</v>
      </c>
      <c r="E8" s="25">
        <v>16000</v>
      </c>
      <c r="F8" s="21"/>
      <c r="G8" s="21"/>
      <c r="H8" s="21"/>
      <c r="I8" s="26">
        <v>30</v>
      </c>
      <c r="J8" s="21"/>
      <c r="K8" s="21"/>
      <c r="L8" s="21"/>
      <c r="M8" s="21"/>
      <c r="N8" s="21"/>
      <c r="O8" s="21"/>
      <c r="P8" s="23">
        <f>ROUNDUP(E8/$M$3*I8+M8,0)</f>
        <v>16000</v>
      </c>
      <c r="Q8" s="23"/>
      <c r="R8" s="23"/>
      <c r="S8" s="23">
        <f>IF(P8&gt;20001,200,IF(P8&gt;15001,150,IF(P8&lt;15000,0,)))</f>
        <v>150</v>
      </c>
      <c r="T8" s="23">
        <f>IF(P8,IF(1,30),IF(1,0))</f>
        <v>30</v>
      </c>
      <c r="U8" s="23"/>
      <c r="V8" s="23"/>
      <c r="W8" s="23"/>
      <c r="X8" s="23"/>
      <c r="Y8" s="23">
        <f>SUM(Q8:X8)</f>
        <v>180</v>
      </c>
      <c r="Z8" s="23">
        <f>P8-Y8</f>
        <v>15820</v>
      </c>
      <c r="AA8" s="38" t="s">
        <v>51</v>
      </c>
      <c r="AB8" s="28" t="s">
        <v>52</v>
      </c>
    </row>
    <row r="9" spans="1:28" s="44" customFormat="1" ht="26.25" customHeight="1">
      <c r="A9" s="21">
        <v>5</v>
      </c>
      <c r="B9" s="39" t="s">
        <v>35</v>
      </c>
      <c r="C9" s="40" t="s">
        <v>36</v>
      </c>
      <c r="D9" s="24">
        <v>30000</v>
      </c>
      <c r="E9" s="25">
        <v>30000</v>
      </c>
      <c r="F9" s="41"/>
      <c r="G9" s="40"/>
      <c r="H9" s="40"/>
      <c r="I9" s="26">
        <v>30</v>
      </c>
      <c r="J9" s="41"/>
      <c r="K9" s="41"/>
      <c r="L9" s="41"/>
      <c r="M9" s="41"/>
      <c r="N9" s="41"/>
      <c r="O9" s="41"/>
      <c r="P9" s="23">
        <f t="shared" si="2"/>
        <v>30000</v>
      </c>
      <c r="Q9" s="40"/>
      <c r="R9" s="40"/>
      <c r="S9" s="40"/>
      <c r="T9" s="40"/>
      <c r="U9" s="40">
        <v>0</v>
      </c>
      <c r="V9" s="40"/>
      <c r="W9" s="40"/>
      <c r="X9" s="40"/>
      <c r="Y9" s="40">
        <f t="shared" si="0"/>
        <v>0</v>
      </c>
      <c r="Z9" s="40">
        <f t="shared" si="1"/>
        <v>30000</v>
      </c>
      <c r="AA9" s="42" t="s">
        <v>37</v>
      </c>
      <c r="AB9" s="43" t="s">
        <v>38</v>
      </c>
    </row>
    <row r="10" spans="1:28" s="49" customFormat="1" ht="26.25" customHeight="1">
      <c r="A10" s="21">
        <v>6</v>
      </c>
      <c r="B10" s="45" t="s">
        <v>42</v>
      </c>
      <c r="C10" s="46" t="s">
        <v>43</v>
      </c>
      <c r="D10" s="24">
        <v>5000</v>
      </c>
      <c r="E10" s="25">
        <v>5000</v>
      </c>
      <c r="F10" s="47"/>
      <c r="G10" s="36"/>
      <c r="H10" s="36"/>
      <c r="I10" s="26">
        <v>30</v>
      </c>
      <c r="J10" s="47"/>
      <c r="K10" s="47"/>
      <c r="L10" s="47"/>
      <c r="M10" s="47"/>
      <c r="N10" s="47"/>
      <c r="O10" s="47"/>
      <c r="P10" s="23">
        <f t="shared" si="2"/>
        <v>5000</v>
      </c>
      <c r="Q10" s="36"/>
      <c r="R10" s="36"/>
      <c r="S10" s="36">
        <f>IF(P10&gt;20001,200,IF(P10&gt;15001,150,IF(P10&lt;15000,0,)))</f>
        <v>0</v>
      </c>
      <c r="T10" s="36">
        <v>30</v>
      </c>
      <c r="U10" s="36">
        <v>0</v>
      </c>
      <c r="V10" s="36"/>
      <c r="W10" s="36"/>
      <c r="X10" s="36"/>
      <c r="Y10" s="36">
        <f t="shared" si="0"/>
        <v>30</v>
      </c>
      <c r="Z10" s="36">
        <f t="shared" si="1"/>
        <v>4970</v>
      </c>
      <c r="AA10" s="48" t="s">
        <v>44</v>
      </c>
      <c r="AB10" s="37" t="s">
        <v>31</v>
      </c>
    </row>
    <row r="11" spans="1:28" s="49" customFormat="1" ht="26.25" customHeight="1">
      <c r="A11" s="21">
        <v>7</v>
      </c>
      <c r="B11" s="30" t="s">
        <v>45</v>
      </c>
      <c r="C11" s="36" t="s">
        <v>46</v>
      </c>
      <c r="D11" s="24">
        <v>32000</v>
      </c>
      <c r="E11" s="25">
        <v>32000</v>
      </c>
      <c r="F11" s="47"/>
      <c r="G11" s="47"/>
      <c r="H11" s="47"/>
      <c r="I11" s="26">
        <v>30</v>
      </c>
      <c r="J11" s="47"/>
      <c r="K11" s="47"/>
      <c r="L11" s="47"/>
      <c r="M11" s="47">
        <v>11875</v>
      </c>
      <c r="N11" s="47"/>
      <c r="O11" s="47"/>
      <c r="P11" s="23">
        <f t="shared" si="2"/>
        <v>43875</v>
      </c>
      <c r="Q11" s="36"/>
      <c r="R11" s="36"/>
      <c r="S11" s="36">
        <f>IF(P11&gt;20001,200,IF(P11&gt;15001,150,IF(P11&lt;15000,0,)))</f>
        <v>200</v>
      </c>
      <c r="T11" s="36">
        <f>IF(P11,IF(1,30),IF(1,0))</f>
        <v>30</v>
      </c>
      <c r="U11" s="36"/>
      <c r="V11" s="36"/>
      <c r="W11" s="36"/>
      <c r="X11" s="36"/>
      <c r="Y11" s="36">
        <f t="shared" si="0"/>
        <v>230</v>
      </c>
      <c r="Z11" s="36">
        <f t="shared" si="1"/>
        <v>43645</v>
      </c>
      <c r="AA11" s="50" t="s">
        <v>47</v>
      </c>
      <c r="AB11" s="37" t="s">
        <v>48</v>
      </c>
    </row>
    <row r="12" spans="1:28" s="56" customFormat="1" ht="29.25" customHeight="1">
      <c r="A12" s="51"/>
      <c r="B12" s="52"/>
      <c r="C12" s="53" t="s">
        <v>7</v>
      </c>
      <c r="D12" s="17">
        <f>SUM(D5:D11)</f>
        <v>186385</v>
      </c>
      <c r="E12" s="17">
        <f>SUM(E5:E11)</f>
        <v>186385</v>
      </c>
      <c r="F12" s="17">
        <f t="shared" ref="E12:Z12" si="3">SUM(F5:F11)</f>
        <v>0</v>
      </c>
      <c r="G12" s="17">
        <f t="shared" si="3"/>
        <v>0</v>
      </c>
      <c r="H12" s="17">
        <f t="shared" si="3"/>
        <v>0</v>
      </c>
      <c r="I12" s="17"/>
      <c r="J12" s="17">
        <f t="shared" si="3"/>
        <v>0</v>
      </c>
      <c r="K12" s="17">
        <f t="shared" si="3"/>
        <v>0</v>
      </c>
      <c r="L12" s="17">
        <f t="shared" si="3"/>
        <v>0</v>
      </c>
      <c r="M12" s="17">
        <f t="shared" si="3"/>
        <v>11875</v>
      </c>
      <c r="N12" s="17">
        <f t="shared" si="3"/>
        <v>0</v>
      </c>
      <c r="O12" s="17">
        <f t="shared" si="3"/>
        <v>0</v>
      </c>
      <c r="P12" s="17">
        <f t="shared" si="3"/>
        <v>198260</v>
      </c>
      <c r="Q12" s="17">
        <f t="shared" si="3"/>
        <v>10800</v>
      </c>
      <c r="R12" s="17">
        <f t="shared" si="3"/>
        <v>0</v>
      </c>
      <c r="S12" s="17">
        <f t="shared" si="3"/>
        <v>750</v>
      </c>
      <c r="T12" s="17">
        <f t="shared" si="3"/>
        <v>180</v>
      </c>
      <c r="U12" s="17">
        <f t="shared" si="3"/>
        <v>0</v>
      </c>
      <c r="V12" s="17">
        <f t="shared" si="3"/>
        <v>0</v>
      </c>
      <c r="W12" s="17">
        <f t="shared" si="3"/>
        <v>0</v>
      </c>
      <c r="X12" s="17">
        <f t="shared" si="3"/>
        <v>0</v>
      </c>
      <c r="Y12" s="17">
        <f t="shared" si="3"/>
        <v>11730</v>
      </c>
      <c r="Z12" s="17">
        <f t="shared" si="3"/>
        <v>186530</v>
      </c>
      <c r="AA12" s="54"/>
      <c r="AB12" s="55"/>
    </row>
    <row r="13" spans="1:28">
      <c r="A13" s="5"/>
      <c r="B13" s="57"/>
      <c r="C13" s="58"/>
      <c r="D13" s="59"/>
      <c r="E13" s="60"/>
      <c r="F13" s="61"/>
      <c r="G13" s="61"/>
      <c r="H13" s="61"/>
      <c r="I13" s="62"/>
      <c r="J13" s="63"/>
      <c r="K13" s="63"/>
      <c r="L13" s="63"/>
      <c r="M13" s="64"/>
      <c r="O13" s="64"/>
      <c r="P13" s="64"/>
      <c r="Q13" s="64"/>
      <c r="R13" s="64"/>
      <c r="S13" s="64"/>
      <c r="Y13" s="65"/>
      <c r="Z13" s="65"/>
      <c r="AA13" s="66"/>
      <c r="AB13" s="67"/>
    </row>
    <row r="14" spans="1:28" ht="26.25" customHeight="1" thickBot="1">
      <c r="A14" s="68"/>
      <c r="B14" s="68"/>
      <c r="C14" s="69"/>
      <c r="D14" s="68"/>
      <c r="E14" s="70"/>
      <c r="F14" s="70"/>
      <c r="G14" s="70"/>
      <c r="H14" s="70"/>
      <c r="I14" s="70"/>
      <c r="J14" s="71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2"/>
      <c r="X14" s="72"/>
    </row>
    <row r="15" spans="1:28" ht="54.6" customHeight="1" thickTop="1">
      <c r="A15" s="1"/>
      <c r="B15" s="2" t="s">
        <v>53</v>
      </c>
      <c r="C15" s="1"/>
      <c r="D15" s="1"/>
      <c r="E15" s="2" t="s">
        <v>54</v>
      </c>
      <c r="G15" s="4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9.5" customHeight="1">
      <c r="A16" s="5"/>
      <c r="B16" s="7" t="s">
        <v>56</v>
      </c>
      <c r="C16" s="8"/>
      <c r="E16" s="10" t="s">
        <v>55</v>
      </c>
      <c r="G16" s="10"/>
      <c r="H16" s="10"/>
      <c r="J16" s="11"/>
      <c r="K16" s="10"/>
      <c r="L16" s="10"/>
      <c r="M16" s="8"/>
      <c r="N16" s="10"/>
      <c r="O16" s="7" t="s">
        <v>57</v>
      </c>
      <c r="Q16" s="8" t="s">
        <v>57</v>
      </c>
      <c r="R16" s="12"/>
      <c r="S16" s="12"/>
      <c r="T16" s="8"/>
      <c r="U16" s="8"/>
      <c r="V16" s="8"/>
      <c r="W16" s="10" t="s">
        <v>58</v>
      </c>
      <c r="X16" s="12"/>
      <c r="AA16" s="7" t="s">
        <v>58</v>
      </c>
    </row>
    <row r="17" spans="1:24" ht="26.25" customHeight="1">
      <c r="A17" s="72"/>
      <c r="B17" s="72"/>
      <c r="C17" s="73"/>
      <c r="D17" s="72"/>
      <c r="E17" s="73"/>
      <c r="F17" s="73"/>
      <c r="G17" s="73"/>
      <c r="H17" s="73"/>
      <c r="I17" s="73"/>
      <c r="J17" s="72"/>
      <c r="K17" s="73"/>
      <c r="L17" s="73"/>
      <c r="M17" s="73"/>
      <c r="N17" s="73"/>
      <c r="O17" s="73"/>
      <c r="P17" s="73"/>
      <c r="Q17" s="73"/>
      <c r="R17" s="73"/>
      <c r="S17" s="74"/>
      <c r="T17" s="74"/>
      <c r="U17" s="74"/>
      <c r="V17" s="73"/>
      <c r="W17" s="72"/>
      <c r="X17" s="72"/>
    </row>
  </sheetData>
  <mergeCells count="2">
    <mergeCell ref="A1:AB1"/>
    <mergeCell ref="A2:AB2"/>
  </mergeCells>
  <pageMargins left="0.90551181102362199" right="0.511811023622047" top="0.55118110236220497" bottom="0.55118110236220497" header="0.31496062992126" footer="0.31496062992126"/>
  <pageSetup paperSize="5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123</cp:lastModifiedBy>
  <cp:lastPrinted>2026-05-15T07:58:37Z</cp:lastPrinted>
  <dcterms:created xsi:type="dcterms:W3CDTF">2015-06-05T18:17:00Z</dcterms:created>
  <dcterms:modified xsi:type="dcterms:W3CDTF">2026-07-13T09:17:37Z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902A4EA585AF4A7EB64F5788D2AF1C9B_12</vt:lpwstr>
  </property>
  <property fmtid="{D5CDD505-2E9C-101B-9397-08002B2CF9AE}" pid="3" name="KSOProductBuildVer">
    <vt:lpwstr>2057-12.2.0.23158</vt:lpwstr>
  </property>
</Properties>
</file>